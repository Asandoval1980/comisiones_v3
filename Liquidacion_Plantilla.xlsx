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ackup Procesos\Comisiones\Comisiones Historial Completo - Semanal\2026-W13 - Corte Pago - OK\"/>
    </mc:Choice>
  </mc:AlternateContent>
  <xr:revisionPtr revIDLastSave="0" documentId="13_ncr:1_{842755EB-AA1E-4FB9-B3CF-616F03DA3FAD}" xr6:coauthVersionLast="47" xr6:coauthVersionMax="47" xr10:uidLastSave="{00000000-0000-0000-0000-000000000000}"/>
  <bookViews>
    <workbookView xWindow="-120" yWindow="-120" windowWidth="24240" windowHeight="17520" tabRatio="946" xr2:uid="{00000000-000D-0000-FFFF-FFFF00000000}"/>
  </bookViews>
  <sheets>
    <sheet name="TOTAL " sheetId="10" r:id="rId1"/>
    <sheet name="INBOUND AM" sheetId="5" r:id="rId2"/>
    <sheet name="INBOUND PM" sheetId="54" r:id="rId3"/>
    <sheet name="REDES INGLÉS" sheetId="48" r:id="rId4"/>
    <sheet name="REDES SOCIALES AM" sheetId="8" r:id="rId5"/>
    <sheet name="REDES SOCIALES PM" sheetId="55" r:id="rId6"/>
    <sheet name="BARRANQUILLA AM" sheetId="50" r:id="rId7"/>
    <sheet name="BARRANQUILLA PM" sheetId="57" r:id="rId8"/>
  </sheets>
  <definedNames>
    <definedName name="_xlnm._FilterDatabase" localSheetId="6" hidden="1">'BARRANQUILLA AM'!$B$8:$U$8</definedName>
    <definedName name="_xlnm._FilterDatabase" localSheetId="7" hidden="1">'BARRANQUILLA PM'!$B$8:$U$8</definedName>
    <definedName name="_xlnm._FilterDatabase" localSheetId="1" hidden="1">'INBOUND AM'!$B$8:$V$20</definedName>
    <definedName name="_xlnm._FilterDatabase" localSheetId="2" hidden="1">'INBOUND PM'!$B$8:$V$16</definedName>
    <definedName name="_xlnm._FilterDatabase" localSheetId="3" hidden="1">'REDES INGLÉS'!$G$8:$T$8</definedName>
    <definedName name="_xlnm._FilterDatabase" localSheetId="4" hidden="1">'REDES SOCIALES AM'!$B$9:$E$23</definedName>
    <definedName name="_xlnm._FilterDatabase" localSheetId="5" hidden="1">'REDES SOCIALES PM'!$F$8:$U$8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</authors>
  <commentList>
    <comment ref="B8" authorId="0" shapeId="0" xr:uid="{00000000-0006-0000-0500-000004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00000000-0006-0000-0500-000005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00000000-0006-0000-0500-000006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00000000-0006-0000-0500-000007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F8" authorId="0" shapeId="0" xr:uid="{00000000-0006-0000-0500-000008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</authors>
  <commentList>
    <comment ref="B8" authorId="0" shapeId="0" xr:uid="{D4372A68-39B3-45DF-AAA8-BB9A0F81525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A19192CD-77FD-4E8A-935D-B4D5FD8C6734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BCC71102-D2C8-41AA-94A4-9BBB569EAC21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4121056C-14FD-4A7E-BDEF-0B795A5B5625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F8" authorId="0" shapeId="0" xr:uid="{7119BF0C-A4D3-4ECA-A09B-76499AA6D717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</authors>
  <commentList>
    <comment ref="B8" authorId="0" shapeId="0" xr:uid="{62811B04-1E4F-46E5-A908-01AF7E57257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3E2AC144-EB36-481E-B3EB-930BC531A22F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AE3206FE-6069-4054-A468-879911D56509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595C2DB9-164A-4243-9C0B-6249D5D748F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  <author>tc={E961F194-AF3C-4F3F-A355-56244B41A48D}</author>
    <author>tc={DE4D972D-90B0-467E-A79F-0F5A2046C84D}</author>
  </authors>
  <commentList>
    <comment ref="B8" authorId="0" shapeId="0" xr:uid="{00000000-0006-0000-0800-000004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00000000-0006-0000-0800-000005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00000000-0006-0000-0800-000006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00000000-0006-0000-0800-00000700000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Q10" authorId="1" shapeId="0" xr:uid="{E961F194-AF3C-4F3F-A355-56244B41A4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5TO PUESTO DIVIDIDO !!!!</t>
      </text>
    </comment>
    <comment ref="Q14" authorId="2" shapeId="0" xr:uid="{DE4D972D-90B0-467E-A79F-0F5A2046C8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5TO PUESTO DIVIDIDO !!!!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</authors>
  <commentList>
    <comment ref="B8" authorId="0" shapeId="0" xr:uid="{E9C58AEA-424E-4683-AB84-B76A4D31E2F5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8E6C7CD9-0A88-4A59-A60A-C4AC65533BE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EA3927D1-B26C-4DC9-B57F-4742923844A8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79D2E69D-6F32-488D-A6C7-0ACFA60F87BD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  <author>tc={8DD79228-84FE-4DC5-AC5A-B9B5F9724E5C}</author>
    <author>tc={E08E06B5-A143-4D66-95C6-EA252B80010E}</author>
    <author>tc={4974421C-551A-48CE-A467-6E1C6F2F0E30}</author>
    <author>tc={0DBDBC85-1676-4A69-963D-4FDF81F67280}</author>
    <author>Procesos</author>
    <author>tc={89B8FD3B-54CE-4D88-9F28-FCA61FAB2884}</author>
    <author>tc={D4FA9F05-708C-4ABB-8FA7-C2B892A4A95C}</author>
    <author>tc={21FBB13F-A402-42EE-B4A1-BC74C049742A}</author>
  </authors>
  <commentList>
    <comment ref="B8" authorId="0" shapeId="0" xr:uid="{C368F61B-BED7-4FAB-B480-A2D919E3AB7E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5E1A5C03-812D-43CC-8DE4-A563225E4F65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A841B773-B4F7-439E-965B-6A9109D49D34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24132F11-C999-4838-944A-D39F6A87AA2F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F8" authorId="0" shapeId="0" xr:uid="{780DB806-D75D-433D-9CDD-18BF54568045}">
      <text>
        <r>
          <rPr>
            <b/>
            <sz val="12"/>
            <color indexed="81"/>
            <rFont val="Calibri"/>
            <family val="2"/>
          </rPr>
          <t xml:space="preserve">PROCESOS: </t>
        </r>
        <r>
          <rPr>
            <sz val="12"/>
            <color indexed="81"/>
            <rFont val="Calibri"/>
            <family val="2"/>
          </rPr>
          <t>INFO MANUAL DESDE RECAUDO TOTAL (Revisar comisiones anteriores y validar quiens aplican o no para el corte actual y la suma total!!!)</t>
        </r>
      </text>
    </comment>
    <comment ref="I8" authorId="1" shapeId="0" xr:uid="{8DD79228-84FE-4DC5-AC5A-B9B5F9724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Medible a partir de 1,300usd en la semana contemplando el valor de cada venta.</t>
      </text>
    </comment>
    <comment ref="J8" authorId="2" shapeId="0" xr:uid="{E08E06B5-A143-4D66-95C6-EA252B8001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a partir de 1,300usd en la semana, junto con el contero superior e inferior por venta.</t>
      </text>
    </comment>
    <comment ref="L8" authorId="3" shapeId="0" xr:uid="{4974421C-551A-48CE-A467-6E1C6F2F0E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a partir de 1,300usd en la semana, junto con el contero superior e inferior por venta.</t>
      </text>
    </comment>
    <comment ref="O8" authorId="0" shapeId="0" xr:uid="{AA31FEF4-2A8E-4ABA-A11C-DDA404A1614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MEDIBLE ÚNICAMENTE SI SUPERA
7.000 USD DE RECAUDO.</t>
        </r>
      </text>
    </comment>
    <comment ref="Q8" authorId="4" shapeId="0" xr:uid="{0DBDBC85-1676-4A69-963D-4FDF81F67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RECIBIR BONO PPV DEBE SUPERAR $139,99 CON UN MÍNIMO DE 1.500 USD DE RECAUDO.</t>
      </text>
    </comment>
    <comment ref="R8" authorId="0" shapeId="0" xr:uid="{DE0B49EA-5D63-495B-B230-5DB4CB41D8C7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CIERRE X PARTE DE DIEGO BERNAL !!!</t>
        </r>
      </text>
    </comment>
    <comment ref="T8" authorId="5" shapeId="0" xr:uid="{91AB8DED-9A1A-468A-8186-0D1B3904418B}">
      <text>
        <r>
          <rPr>
            <b/>
            <sz val="12"/>
            <color indexed="81"/>
            <rFont val="Calibri"/>
            <family val="2"/>
            <scheme val="minor"/>
          </rPr>
          <t xml:space="preserve">Procesos: </t>
        </r>
        <r>
          <rPr>
            <sz val="12"/>
            <color indexed="81"/>
            <rFont val="Calibri"/>
            <family val="2"/>
            <scheme val="minor"/>
          </rPr>
          <t>A partir del corte Oct/Nov-2021,
Medible a partir de 5,000SUD en el mes.</t>
        </r>
      </text>
    </comment>
    <comment ref="L13" authorId="6" shapeId="0" xr:uid="{89B8FD3B-54CE-4D88-9F28-FCA61FAB28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2DO Y 3ER PUESTO DIVIDIDO !!!!</t>
      </text>
    </comment>
    <comment ref="L14" authorId="7" shapeId="0" xr:uid="{D4FA9F05-708C-4ABB-8FA7-C2B892A4A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2DO Y 3ER PUESTO DIVIDIDO !!!!</t>
      </text>
    </comment>
    <comment ref="L17" authorId="8" shapeId="0" xr:uid="{21FBB13F-A402-42EE-B4A1-BC74C04974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2DO Y 3ER PUESTO DIVIDIDO !!!!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</author>
    <author>tc={089DDE1C-37D4-4CA2-9321-AADF1CA0DBFC}</author>
    <author>tc={14D9A45B-3F15-40F8-B332-4C9EE10446FF}</author>
    <author>tc={63C436E6-89B3-49B0-A51C-118A57D424E2}</author>
    <author>tc={52E47E69-C036-4E0A-AACE-DC06C4C1E3EC}</author>
    <author>Procesos</author>
    <author>tc={E3C2E6FE-A6B6-4C7F-B78E-28403DC6D83E}</author>
    <author>tc={0621CFC6-A6CA-4698-A0C3-E8E5FB6A360F}</author>
  </authors>
  <commentList>
    <comment ref="B8" authorId="0" shapeId="0" xr:uid="{C1F52F99-6674-4716-902F-D5757A32A389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C8" authorId="0" shapeId="0" xr:uid="{0115A51C-6D99-4DAD-86D5-069831F9F530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D8" authorId="0" shapeId="0" xr:uid="{23527106-F79F-4487-B294-E76FBAA339DF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E8" authorId="0" shapeId="0" xr:uid="{99A33B1D-D197-45E9-83F8-8A9D496D8E13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INFO MANUAL DESDE
RECAUDO TOTAL</t>
        </r>
      </text>
    </comment>
    <comment ref="F8" authorId="0" shapeId="0" xr:uid="{458E1EF3-DF3F-4C0E-A961-D6A712AEA672}">
      <text>
        <r>
          <rPr>
            <b/>
            <sz val="12"/>
            <color indexed="81"/>
            <rFont val="Calibri"/>
            <family val="2"/>
          </rPr>
          <t xml:space="preserve">PROCESOS: </t>
        </r>
        <r>
          <rPr>
            <sz val="12"/>
            <color indexed="81"/>
            <rFont val="Calibri"/>
            <family val="2"/>
          </rPr>
          <t>INFO MANUAL DESDE RECAUDO TOTAL (Revisar comisiones anteriores y validar quiens aplican o no para el corte actual y la suma total!!!)</t>
        </r>
      </text>
    </comment>
    <comment ref="I8" authorId="1" shapeId="0" xr:uid="{089DDE1C-37D4-4CA2-9321-AADF1CA0DB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Medible a partir de 1,300usd en la semana contemplando el valor de cada venta.</t>
      </text>
    </comment>
    <comment ref="J8" authorId="2" shapeId="0" xr:uid="{14D9A45B-3F15-40F8-B332-4C9EE1044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a partir de 1,300usd en la semana, junto con el contero superior e inferior por venta.</t>
      </text>
    </comment>
    <comment ref="L8" authorId="3" shapeId="0" xr:uid="{63C436E6-89B3-49B0-A51C-118A57D42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corte 1ra Sem Feb-2025, a partir de 1,300usd en la semana, junto con el contero superior e inferior por venta.</t>
      </text>
    </comment>
    <comment ref="O8" authorId="0" shapeId="0" xr:uid="{ED188AAF-45A5-46AD-BC86-AF267D1015EB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MEDIBLE ÚNICAMENTE SI SUPERA
7.000 USD DE RECAUDO.</t>
        </r>
      </text>
    </comment>
    <comment ref="Q8" authorId="4" shapeId="0" xr:uid="{52E47E69-C036-4E0A-AACE-DC06C4C1E3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RECIBIR BONO PPV DEBE SUPERAR $139,99 CON UN MÍNIMO DE 1.500 USD DE RECAUDO.</t>
      </text>
    </comment>
    <comment ref="R8" authorId="0" shapeId="0" xr:uid="{8F8422BA-49E5-4D33-AA5F-605BA972C735}">
      <text>
        <r>
          <rPr>
            <b/>
            <sz val="12"/>
            <color indexed="81"/>
            <rFont val="Calibri"/>
            <family val="2"/>
          </rPr>
          <t>PROCESOS:</t>
        </r>
        <r>
          <rPr>
            <sz val="12"/>
            <color indexed="81"/>
            <rFont val="Calibri"/>
            <family val="2"/>
          </rPr>
          <t xml:space="preserve">
CIERRE X PARTE DE DIEGO BERNAL !!!</t>
        </r>
      </text>
    </comment>
    <comment ref="T8" authorId="5" shapeId="0" xr:uid="{CE138135-2C27-4EE8-AC89-734093D78EF3}">
      <text>
        <r>
          <rPr>
            <b/>
            <sz val="12"/>
            <color indexed="81"/>
            <rFont val="Calibri"/>
            <family val="2"/>
            <scheme val="minor"/>
          </rPr>
          <t xml:space="preserve">Procesos: </t>
        </r>
        <r>
          <rPr>
            <sz val="12"/>
            <color indexed="81"/>
            <rFont val="Calibri"/>
            <family val="2"/>
            <scheme val="minor"/>
          </rPr>
          <t>A partir del corte Oct/Nov-2021,
Medible a partir de 5,000SUD en el mes.</t>
        </r>
      </text>
    </comment>
    <comment ref="L11" authorId="6" shapeId="0" xr:uid="{E3C2E6FE-A6B6-4C7F-B78E-28403DC6D8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3ER PUESTO DIVIDIDO !!!!</t>
      </text>
    </comment>
    <comment ref="L12" authorId="7" shapeId="0" xr:uid="{0621CFC6-A6CA-4698-A0C3-E8E5FB6A36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3ER PUESTO DIVIDIDO !!!!</t>
      </text>
    </comment>
  </commentList>
</comments>
</file>

<file path=xl/sharedStrings.xml><?xml version="1.0" encoding="utf-8"?>
<sst xmlns="http://schemas.openxmlformats.org/spreadsheetml/2006/main" count="387" uniqueCount="176">
  <si>
    <t>ROBERTH ENRIQUE PINTO CORREA</t>
  </si>
  <si>
    <t>-</t>
  </si>
  <si>
    <t xml:space="preserve">AGENTE COMERCIAL </t>
  </si>
  <si>
    <t>PPV</t>
  </si>
  <si>
    <t>GRUPO</t>
  </si>
  <si>
    <t xml:space="preserve">TOTAL </t>
  </si>
  <si>
    <t>APEREZ</t>
  </si>
  <si>
    <t>BIANCAANGULO</t>
  </si>
  <si>
    <t xml:space="preserve">USER </t>
  </si>
  <si>
    <t>TOTAL
$ USD</t>
  </si>
  <si>
    <t>TOTAL $
PESOS</t>
  </si>
  <si>
    <t xml:space="preserve">DESC
PENALD. </t>
  </si>
  <si>
    <t>PENALD.</t>
  </si>
  <si>
    <t>BONO
T.C</t>
  </si>
  <si>
    <t>BONO
PPV</t>
  </si>
  <si>
    <t xml:space="preserve">BONO
PAGOS </t>
  </si>
  <si>
    <t>BONO
&gt; ENT</t>
  </si>
  <si>
    <t>COMISIÓN
USD</t>
  </si>
  <si>
    <t>CANT
T.C</t>
  </si>
  <si>
    <t>CANTIDAD</t>
  </si>
  <si>
    <t>BONO
RECAUDO</t>
  </si>
  <si>
    <t>VENTAS
DESP</t>
  </si>
  <si>
    <t>BONO
&gt;  REC</t>
  </si>
  <si>
    <t>BONO
&gt; DESP</t>
  </si>
  <si>
    <t>RECAUDO
USD</t>
  </si>
  <si>
    <t>VICTOR ALFONSO MONSALVE FERNAN</t>
  </si>
  <si>
    <t>VAMONSALVE</t>
  </si>
  <si>
    <t>IN BOUND AM</t>
  </si>
  <si>
    <t>IN BOUND PM</t>
  </si>
  <si>
    <t>TOTAL GRUPOS</t>
  </si>
  <si>
    <t>T. PENALIDAD</t>
  </si>
  <si>
    <t xml:space="preserve"> </t>
  </si>
  <si>
    <t>REDES INGLES (1503)</t>
  </si>
  <si>
    <t>INBOUND AM (475)</t>
  </si>
  <si>
    <t>INBOUND PM (479)</t>
  </si>
  <si>
    <t>JOANA PATRICIA TOBON VELASQUEZ</t>
  </si>
  <si>
    <t>VENTAS
&lt;   $219</t>
  </si>
  <si>
    <t>VENTAS
&gt;   $269</t>
  </si>
  <si>
    <t>VENTAS
&gt;   $219</t>
  </si>
  <si>
    <t>VENTAS
&lt;   $185</t>
  </si>
  <si>
    <t>JASANCHEZS</t>
  </si>
  <si>
    <t>JHON ALDEMAR SANCHEZ SANCHEZ</t>
  </si>
  <si>
    <t>LOSORIOG</t>
  </si>
  <si>
    <t>LEIDY CAROLINA OSORIO GIL</t>
  </si>
  <si>
    <t>JPTOBONV</t>
  </si>
  <si>
    <t>IJLUGO</t>
  </si>
  <si>
    <t>IVAN JOSE LUGO ALBORNOZ</t>
  </si>
  <si>
    <t>PINTOR</t>
  </si>
  <si>
    <t>VENTAS
&lt;   $229</t>
  </si>
  <si>
    <t>VENTAS
&lt;   $259</t>
  </si>
  <si>
    <t>VENTAS
&gt;   $259</t>
  </si>
  <si>
    <t>REDES INGLÉS</t>
  </si>
  <si>
    <t>CAMBIO PORCENTUAL
SEMANA ANTERIOR</t>
  </si>
  <si>
    <t>AIDER ENRIQUE PEREZ PEINADO</t>
  </si>
  <si>
    <t>YEFRANCO</t>
  </si>
  <si>
    <t>ROCIOFAJARDO</t>
  </si>
  <si>
    <t>CLAUDIA ROCIO FAJARDO ARAQUE</t>
  </si>
  <si>
    <t>JULIAN ANDRES RONDON ESPANA</t>
  </si>
  <si>
    <t>JARONDONE</t>
  </si>
  <si>
    <t>XACHAVESC</t>
  </si>
  <si>
    <t>XIMENA ALEXANDRA CHAVES CAMPO</t>
  </si>
  <si>
    <t>RECAUDO</t>
  </si>
  <si>
    <t>Ventas
&lt; =154</t>
  </si>
  <si>
    <t>Ventas
&gt; 154</t>
  </si>
  <si>
    <t>SUBTOTAL
SIN DESC</t>
  </si>
  <si>
    <t>TOTAL FINAL
A PAGAR **</t>
  </si>
  <si>
    <t>MARIA CAMILA CARBONEL VARON</t>
  </si>
  <si>
    <t>MCCARBONELL</t>
  </si>
  <si>
    <t>REORDEN AM (918)</t>
  </si>
  <si>
    <t>JOSE MARIA TORRES GALAN</t>
  </si>
  <si>
    <t>REOJMTORRES</t>
  </si>
  <si>
    <t>REORDEN PM (1944)</t>
  </si>
  <si>
    <t>MARCELO ANTONIO PERTUZ PEREZ</t>
  </si>
  <si>
    <t>MAPERTUZP</t>
  </si>
  <si>
    <t>SORAYA ESTHER CASTRO CARBONELL</t>
  </si>
  <si>
    <t>MARCOS FIDEL SUAREZ GONZALEZ</t>
  </si>
  <si>
    <t>REOMFSUAREZ</t>
  </si>
  <si>
    <t>ESPERTUZP</t>
  </si>
  <si>
    <t>LUIS ENRIQUE VITORA QUINTERO</t>
  </si>
  <si>
    <t>LEVITORA</t>
  </si>
  <si>
    <t>NOELIA PATRICIA GUTIERREZ CERPA</t>
  </si>
  <si>
    <t>NPGUTIERREZC</t>
  </si>
  <si>
    <t>JESUAREZB</t>
  </si>
  <si>
    <t>MARIA DE LA CRUZ LOBO PEREZ</t>
  </si>
  <si>
    <t>MCLOBO</t>
  </si>
  <si>
    <t>GISELLE PAOLA NEGRETE CUETO</t>
  </si>
  <si>
    <t>BARRANQUILLA AM</t>
  </si>
  <si>
    <t>BARRANQUILLA PM</t>
  </si>
  <si>
    <t>VMRODELO</t>
  </si>
  <si>
    <t>Mayores
Ing. &gt; 1.750</t>
  </si>
  <si>
    <t>Bono &gt;
Despachos</t>
  </si>
  <si>
    <t>Total
Despachos</t>
  </si>
  <si>
    <t>Bono &gt;
Ingresos</t>
  </si>
  <si>
    <t>Comisión
$ USD</t>
  </si>
  <si>
    <t>T. Ordenes
TC y Zelle</t>
  </si>
  <si>
    <t>Bono
TC y Zelle</t>
  </si>
  <si>
    <t>Bono
PPV</t>
  </si>
  <si>
    <t>Penalidad</t>
  </si>
  <si>
    <t>Descuento
Penalidad</t>
  </si>
  <si>
    <t>DSLUQUEL</t>
  </si>
  <si>
    <t>DARIELA STEPHANIE LUQUE LUQUE</t>
  </si>
  <si>
    <t>EDWIN JOSE HERNANDEZ DE MOYA</t>
  </si>
  <si>
    <t>EJHERNANDED</t>
  </si>
  <si>
    <t>GPNEGRETE</t>
  </si>
  <si>
    <t>LBMONTOYA</t>
  </si>
  <si>
    <t>LUISA BALENTINA MONTOYA PARDO</t>
  </si>
  <si>
    <t>REDES SOCIALES AM</t>
  </si>
  <si>
    <t>REDES SOCIALES PM</t>
  </si>
  <si>
    <t>LEZAPATA</t>
  </si>
  <si>
    <t>LORENA ESTHER ZAPATA RAMIREZ</t>
  </si>
  <si>
    <t>REDES SOCIALES AM (1485)</t>
  </si>
  <si>
    <t>REDES SOCIALES PM(1486)</t>
  </si>
  <si>
    <t>REOILBORGE</t>
  </si>
  <si>
    <t>INDIRA LUCIA BORGE ALGARIN</t>
  </si>
  <si>
    <t>YEIMI PAOLA GALVIS GONZALEZ</t>
  </si>
  <si>
    <t>YPGALVIS</t>
  </si>
  <si>
    <t>LCCADENAG</t>
  </si>
  <si>
    <t>YOHN EDDISON FRANCO CASTELLANO</t>
  </si>
  <si>
    <t>JULIAN CAMILO GUEVARA CARDENAS</t>
  </si>
  <si>
    <t>LUNA CAMILA CADENA GALLARADO</t>
  </si>
  <si>
    <t>VICTOR MANUEL RODELO PEDROZO</t>
  </si>
  <si>
    <t>JCGUEVARA</t>
  </si>
  <si>
    <t>WILSON DANOVIS DE LA ROSA ACOSTA</t>
  </si>
  <si>
    <t>JUAN DAVID TORRES PERES</t>
  </si>
  <si>
    <t>WDACOSTAA</t>
  </si>
  <si>
    <t>JDTORRESP</t>
  </si>
  <si>
    <t>MCSANTANDER</t>
  </si>
  <si>
    <t>MOISES CASTRO SANTANDER</t>
  </si>
  <si>
    <t>WBVALENCIAFZ</t>
  </si>
  <si>
    <t>WENDY BEATRIZ VALENCIA FERNANDEZ</t>
  </si>
  <si>
    <t>JAIME ALEXANDER HERNANDEZ RODRIGUEZ</t>
  </si>
  <si>
    <t>JAHERNANDEZR</t>
  </si>
  <si>
    <t>RDMIRANDA</t>
  </si>
  <si>
    <t>JSSALAZAR</t>
  </si>
  <si>
    <t>ROSANA DEL CARMEN MIRANDA</t>
  </si>
  <si>
    <t>JOSE SALAZAR SALAZAR</t>
  </si>
  <si>
    <t>CYLEONS</t>
  </si>
  <si>
    <t>BCGOMEZYS</t>
  </si>
  <si>
    <t>MMADERAM</t>
  </si>
  <si>
    <t>CRISTIAN YESID LEON SUAREZ</t>
  </si>
  <si>
    <t>MARLON MADERA MEJIA</t>
  </si>
  <si>
    <t>BLANCA CATHERINE GOMEZ YEPES</t>
  </si>
  <si>
    <t>DJVARGASM</t>
  </si>
  <si>
    <t>CDVILLAMIZARS</t>
  </si>
  <si>
    <t>CARLOS DAVID VILLAMIZAR SUAREZ</t>
  </si>
  <si>
    <t>DEIMER JESUS VARGAS MENDOZA</t>
  </si>
  <si>
    <t>NERISA RODRIGUEZ ACOSTA</t>
  </si>
  <si>
    <t>SECASTRO</t>
  </si>
  <si>
    <t>NRODRIGUEZA</t>
  </si>
  <si>
    <t>JESUS DAVID LUGO ZAMBRANO</t>
  </si>
  <si>
    <t>BETSY LILIANA PALMA ALGARIN</t>
  </si>
  <si>
    <t>JOUSY CAROLINA VASQUEZ ARTIGAS</t>
  </si>
  <si>
    <t>JDLUGOZ</t>
  </si>
  <si>
    <t>JCVASQUEZAA</t>
  </si>
  <si>
    <t>BLPALMAA</t>
  </si>
  <si>
    <t>VENTAS
DIGITALES</t>
  </si>
  <si>
    <t>BONO
VNT. DIG.</t>
  </si>
  <si>
    <t>MICHEL ANDREA BUENAVENTURA CAMARGO</t>
  </si>
  <si>
    <t>DAVID SANTIAGO MALAGON BOCAREJO</t>
  </si>
  <si>
    <t>MANUEL DE JESUS OLIVARES ORDONEZ</t>
  </si>
  <si>
    <t>MABUENAVENC</t>
  </si>
  <si>
    <t>DSMALAGONB</t>
  </si>
  <si>
    <t>MJOLIVARESO</t>
  </si>
  <si>
    <t>EVA SANDRITH PERTUZ PEREZ</t>
  </si>
  <si>
    <t>JUAN ENRIQUE SUAREZ BARRIOS</t>
  </si>
  <si>
    <t>BIANCA ANGULO ORTEGA</t>
  </si>
  <si>
    <t>COMISIONES REDES SOCIALES PM W13 - 2026</t>
  </si>
  <si>
    <t>COMISIONES REDES SOCIALES AM W13 - 2026</t>
  </si>
  <si>
    <t>COMISIONES BARRANQUILLA PM W13 - 2026</t>
  </si>
  <si>
    <t>COMISIONES BARRANQUILLA AM W13 - 2026</t>
  </si>
  <si>
    <t>COMISIONES IN BOUND PM W13 - 2026</t>
  </si>
  <si>
    <t>COMISIONES REDES INGLÉS W13 - 2026</t>
  </si>
  <si>
    <t>COMISIONES IN BOUND AM W13 - 2026</t>
  </si>
  <si>
    <t>LIQUIDACIÓN COMISIONES SEMANALES
&lt; W13 &gt; // 23-06-2026 AL 29-03-2026</t>
  </si>
  <si>
    <t>TOTAL CAMPAÑAS VERDADERO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</si>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</sst>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[$$-240A]\ #,##0"/>
    <numFmt numFmtId="169" formatCode="[$$-240A]\ #,##0.00"/>
    <numFmt numFmtId="171" formatCode="0_ ;\-0\ "/>
    <numFmt numFmtId="172" formatCode="[$$-540A]#,##0.00"/>
    <numFmt numFmtId="173" formatCode="_(&quot;$&quot;\ * #,##0.00_);_(&quot;$&quot;\ * \(#,##0.00\);_(&quot;$&quot;\ * &quot;-&quot;??_);_(@_)"/>
    <numFmt numFmtId="174" formatCode="_-* #,##0.00_-;\-* #,##0.00_-;_-* \-??_-;_-@_-"/>
    <numFmt numFmtId="177" formatCode="[$$-540A]#,##0"/>
    <numFmt numFmtId="178" formatCode="&quot;$&quot;\ #,##0"/>
    <numFmt numFmtId="182" formatCode="_(* #,##0.00_);_(* \(#,##0.00\);_(* &quot;-&quot;??_);_(@_)"/>
  </numFmts>
  <fonts count="4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b/>
      <sz val="12"/>
      <color indexed="81"/>
      <name val="Calibri"/>
      <family val="2"/>
    </font>
    <font>
      <sz val="12"/>
      <color indexed="8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indexed="81"/>
      <name val="Calibri"/>
      <family val="2"/>
      <scheme val="minor"/>
    </font>
    <font>
      <sz val="12"/>
      <color indexed="8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0"/>
      <color rgb="FF0563C1"/>
      <name val="Arial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rgb="FF000000"/>
      <name val="Calibri"/>
      <family val="2"/>
      <charset val="134"/>
    </font>
    <font>
      <sz val="11"/>
      <color rgb="FF9C6500"/>
      <name val="Calibri"/>
      <family val="2"/>
      <charset val="1"/>
    </font>
    <font>
      <sz val="11"/>
      <color rgb="FF9C5700"/>
      <name val="Calibri"/>
      <family val="2"/>
      <scheme val="minor"/>
    </font>
    <font>
      <b/>
      <sz val="23"/>
      <color theme="0"/>
      <name val="Calibri"/>
      <family val="2"/>
      <scheme val="minor"/>
    </font>
    <font>
      <b/>
      <sz val="23"/>
      <color theme="9" tint="0.79998168889431442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gradientFill degree="90">
        <stop position="0">
          <color rgb="FF92D050"/>
        </stop>
        <stop position="1">
          <color theme="4"/>
        </stop>
      </gradient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auto="1"/>
      </patternFill>
    </fill>
    <fill>
      <patternFill patternType="solid">
        <fgColor rgb="FFFFEB9C"/>
        <bgColor rgb="FFFFE699"/>
      </patternFill>
    </fill>
    <fill>
      <gradientFill degree="90">
        <stop position="0">
          <color rgb="FF92D050"/>
        </stop>
        <stop position="1">
          <color rgb="FF00B0F0"/>
        </stop>
      </gradient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56">
    <xf numFmtId="0" fontId="0" fillId="0" borderId="0"/>
    <xf numFmtId="0" fontId="7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18" fillId="0" borderId="0"/>
    <xf numFmtId="42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22" applyNumberFormat="0" applyAlignment="0" applyProtection="0"/>
    <xf numFmtId="0" fontId="29" fillId="15" borderId="23" applyNumberFormat="0" applyAlignment="0" applyProtection="0"/>
    <xf numFmtId="0" fontId="30" fillId="15" borderId="22" applyNumberFormat="0" applyAlignment="0" applyProtection="0"/>
    <xf numFmtId="0" fontId="31" fillId="0" borderId="24" applyNumberFormat="0" applyFill="0" applyAlignment="0" applyProtection="0"/>
    <xf numFmtId="0" fontId="32" fillId="16" borderId="25" applyNumberFormat="0" applyAlignment="0" applyProtection="0"/>
    <xf numFmtId="0" fontId="33" fillId="0" borderId="0" applyNumberFormat="0" applyFill="0" applyBorder="0" applyAlignment="0" applyProtection="0"/>
    <xf numFmtId="0" fontId="6" fillId="17" borderId="26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27" applyNumberFormat="0" applyFill="0" applyAlignment="0" applyProtection="0"/>
    <xf numFmtId="0" fontId="3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36" fillId="41" borderId="0" applyNumberFormat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38" fillId="0" borderId="0"/>
    <xf numFmtId="0" fontId="40" fillId="0" borderId="0"/>
    <xf numFmtId="0" fontId="39" fillId="0" borderId="0" applyBorder="0" applyProtection="0"/>
    <xf numFmtId="0" fontId="40" fillId="0" borderId="0"/>
    <xf numFmtId="0" fontId="41" fillId="0" borderId="0" applyBorder="0" applyProtection="0"/>
    <xf numFmtId="0" fontId="40" fillId="0" borderId="0" applyBorder="0" applyProtection="0"/>
    <xf numFmtId="0" fontId="41" fillId="0" borderId="0" applyBorder="0" applyProtection="0"/>
    <xf numFmtId="174" fontId="38" fillId="0" borderId="0" applyBorder="0" applyProtection="0"/>
    <xf numFmtId="0" fontId="38" fillId="0" borderId="0"/>
    <xf numFmtId="0" fontId="38" fillId="0" borderId="0"/>
    <xf numFmtId="0" fontId="38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44" fillId="43" borderId="0" applyBorder="0" applyProtection="0"/>
    <xf numFmtId="0" fontId="45" fillId="13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9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9" fontId="9" fillId="0" borderId="0" xfId="4" applyFont="1" applyAlignment="1">
      <alignment horizontal="center" vertical="center"/>
    </xf>
    <xf numFmtId="165" fontId="9" fillId="0" borderId="0" xfId="2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10" fillId="3" borderId="1" xfId="4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6" fontId="10" fillId="4" borderId="1" xfId="2" applyNumberFormat="1" applyFont="1" applyFill="1" applyBorder="1" applyAlignment="1">
      <alignment horizontal="center" vertical="center"/>
    </xf>
    <xf numFmtId="9" fontId="10" fillId="4" borderId="1" xfId="4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10" fillId="5" borderId="6" xfId="0" applyFont="1" applyFill="1" applyBorder="1" applyAlignment="1">
      <alignment vertical="center"/>
    </xf>
    <xf numFmtId="0" fontId="10" fillId="5" borderId="7" xfId="0" applyFont="1" applyFill="1" applyBorder="1" applyAlignment="1">
      <alignment vertical="center"/>
    </xf>
    <xf numFmtId="165" fontId="10" fillId="4" borderId="1" xfId="2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7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169" fontId="10" fillId="4" borderId="1" xfId="0" applyNumberFormat="1" applyFont="1" applyFill="1" applyBorder="1" applyAlignment="1">
      <alignment horizontal="center" vertical="center"/>
    </xf>
    <xf numFmtId="171" fontId="10" fillId="4" borderId="1" xfId="2" applyNumberFormat="1" applyFont="1" applyFill="1" applyBorder="1" applyAlignment="1">
      <alignment horizontal="center" vertical="center"/>
    </xf>
    <xf numFmtId="171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0" fillId="10" borderId="1" xfId="2" applyNumberFormat="1" applyFont="1" applyFill="1" applyBorder="1" applyAlignment="1">
      <alignment horizontal="center" vertical="center"/>
    </xf>
    <xf numFmtId="1" fontId="10" fillId="4" borderId="1" xfId="2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167" fontId="9" fillId="0" borderId="0" xfId="0" applyNumberFormat="1" applyFont="1"/>
    <xf numFmtId="0" fontId="10" fillId="4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167" fontId="20" fillId="10" borderId="1" xfId="0" applyNumberFormat="1" applyFont="1" applyFill="1" applyBorder="1" applyAlignment="1">
      <alignment horizontal="center" vertical="center"/>
    </xf>
    <xf numFmtId="167" fontId="37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46" fillId="8" borderId="1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 wrapText="1"/>
    </xf>
    <xf numFmtId="9" fontId="46" fillId="8" borderId="13" xfId="4" applyFont="1" applyFill="1" applyBorder="1" applyAlignment="1">
      <alignment horizontal="center" vertical="center"/>
    </xf>
    <xf numFmtId="166" fontId="46" fillId="8" borderId="10" xfId="0" applyNumberFormat="1" applyFont="1" applyFill="1" applyBorder="1" applyAlignment="1">
      <alignment horizontal="center" vertical="center"/>
    </xf>
    <xf numFmtId="0" fontId="46" fillId="8" borderId="9" xfId="0" applyFont="1" applyFill="1" applyBorder="1" applyAlignment="1">
      <alignment horizontal="center" vertical="center"/>
    </xf>
    <xf numFmtId="166" fontId="46" fillId="9" borderId="11" xfId="2" applyNumberFormat="1" applyFont="1" applyFill="1" applyBorder="1" applyAlignment="1">
      <alignment horizontal="center" vertical="center"/>
    </xf>
    <xf numFmtId="166" fontId="46" fillId="9" borderId="18" xfId="2" applyNumberFormat="1" applyFont="1" applyFill="1" applyBorder="1" applyAlignment="1">
      <alignment horizontal="center" vertical="center"/>
    </xf>
    <xf numFmtId="166" fontId="46" fillId="9" borderId="12" xfId="2" applyNumberFormat="1" applyFont="1" applyFill="1" applyBorder="1" applyAlignment="1">
      <alignment horizontal="center" vertical="center"/>
    </xf>
    <xf numFmtId="9" fontId="46" fillId="9" borderId="11" xfId="4" applyFont="1" applyFill="1" applyBorder="1" applyAlignment="1">
      <alignment horizontal="center" vertical="center"/>
    </xf>
    <xf numFmtId="9" fontId="46" fillId="9" borderId="18" xfId="4" applyFont="1" applyFill="1" applyBorder="1" applyAlignment="1">
      <alignment horizontal="center" vertical="center"/>
    </xf>
    <xf numFmtId="9" fontId="46" fillId="9" borderId="12" xfId="4" applyFont="1" applyFill="1" applyBorder="1" applyAlignment="1">
      <alignment horizontal="center" vertical="center"/>
    </xf>
    <xf numFmtId="0" fontId="47" fillId="8" borderId="9" xfId="0" applyFont="1" applyFill="1" applyBorder="1" applyAlignment="1">
      <alignment horizontal="center" vertical="center"/>
    </xf>
    <xf numFmtId="166" fontId="47" fillId="8" borderId="10" xfId="0" applyNumberFormat="1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72" fontId="10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66" fontId="1" fillId="0" borderId="0" xfId="2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9" fontId="10" fillId="44" borderId="1" xfId="4" applyFont="1" applyFill="1" applyBorder="1" applyAlignment="1">
      <alignment horizontal="center" vertical="center"/>
    </xf>
    <xf numFmtId="166" fontId="10" fillId="3" borderId="1" xfId="2" applyNumberFormat="1" applyFont="1" applyFill="1" applyBorder="1" applyAlignment="1">
      <alignment horizontal="center" vertical="center" wrapText="1"/>
    </xf>
    <xf numFmtId="177" fontId="10" fillId="4" borderId="1" xfId="2" applyNumberFormat="1" applyFont="1" applyFill="1" applyBorder="1" applyAlignment="1">
      <alignment horizontal="center" vertical="center"/>
    </xf>
    <xf numFmtId="178" fontId="10" fillId="4" borderId="1" xfId="2" applyNumberFormat="1" applyFont="1" applyFill="1" applyBorder="1" applyAlignment="1">
      <alignment horizontal="center" vertical="center"/>
    </xf>
    <xf numFmtId="37" fontId="10" fillId="4" borderId="1" xfId="2" applyNumberFormat="1" applyFont="1" applyFill="1" applyBorder="1" applyAlignment="1">
      <alignment horizontal="center" vertical="center"/>
    </xf>
    <xf numFmtId="172" fontId="10" fillId="4" borderId="1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10" fillId="44" borderId="1" xfId="4" applyFont="1" applyFill="1" applyBorder="1" applyAlignment="1">
      <alignment horizontal="center" vertical="center" wrapText="1"/>
    </xf>
    <xf numFmtId="9" fontId="10" fillId="2" borderId="1" xfId="4" applyFont="1" applyFill="1" applyBorder="1" applyAlignment="1">
      <alignment horizontal="center" vertical="center" wrapText="1"/>
    </xf>
    <xf numFmtId="167" fontId="20" fillId="10" borderId="29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46" fillId="9" borderId="11" xfId="1" applyFont="1" applyFill="1" applyBorder="1" applyAlignment="1">
      <alignment horizontal="center" vertical="center"/>
    </xf>
    <xf numFmtId="0" fontId="46" fillId="9" borderId="18" xfId="1" applyFont="1" applyFill="1" applyBorder="1" applyAlignment="1">
      <alignment horizontal="center" vertical="center"/>
    </xf>
    <xf numFmtId="0" fontId="46" fillId="9" borderId="12" xfId="1" applyFont="1" applyFill="1" applyBorder="1" applyAlignment="1">
      <alignment horizontal="center" vertical="center"/>
    </xf>
    <xf numFmtId="0" fontId="46" fillId="8" borderId="15" xfId="0" applyFont="1" applyFill="1" applyBorder="1" applyAlignment="1">
      <alignment horizontal="center" vertical="center" wrapText="1"/>
    </xf>
    <xf numFmtId="0" fontId="46" fillId="8" borderId="17" xfId="0" applyFont="1" applyFill="1" applyBorder="1" applyAlignment="1">
      <alignment horizontal="center" vertical="center"/>
    </xf>
    <xf numFmtId="0" fontId="46" fillId="8" borderId="1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7" fontId="15" fillId="6" borderId="1" xfId="0" applyNumberFormat="1" applyFont="1" applyFill="1" applyBorder="1" applyAlignment="1">
      <alignment horizontal="center" vertical="center"/>
    </xf>
    <xf numFmtId="167" fontId="15" fillId="6" borderId="14" xfId="0" applyNumberFormat="1" applyFont="1" applyFill="1" applyBorder="1" applyAlignment="1">
      <alignment horizontal="center" vertical="center"/>
    </xf>
    <xf numFmtId="167" fontId="15" fillId="6" borderId="8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</cellXfs>
  <cellStyles count="156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1 2" xfId="121" xr:uid="{CA0A060A-1C0C-4AB7-9D90-D1E1896A1AC0}"/>
    <cellStyle name="60% - Énfasis2" xfId="34" builtinId="36" customBuiltin="1"/>
    <cellStyle name="60% - Énfasis2 2" xfId="122" xr:uid="{5740E449-4C6E-4183-AE2F-9CBCF89C7757}"/>
    <cellStyle name="60% - Énfasis3" xfId="38" builtinId="40" customBuiltin="1"/>
    <cellStyle name="60% - Énfasis3 2" xfId="123" xr:uid="{F1E2CE9D-4323-418A-B81D-273427529C2B}"/>
    <cellStyle name="60% - Énfasis4" xfId="42" builtinId="44" customBuiltin="1"/>
    <cellStyle name="60% - Énfasis4 2" xfId="124" xr:uid="{592330FA-BD81-43DF-8CC9-A0ABCDFA4432}"/>
    <cellStyle name="60% - Énfasis5" xfId="46" builtinId="48" customBuiltin="1"/>
    <cellStyle name="60% - Énfasis5 2" xfId="125" xr:uid="{C1C42025-3417-4389-B016-39E901B60826}"/>
    <cellStyle name="60% - Énfasis6" xfId="50" builtinId="52" customBuiltin="1"/>
    <cellStyle name="60% - Énfasis6 2" xfId="126" xr:uid="{C2E0B9B5-43B3-45AA-B6AD-1527BD93E8A3}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Comma 2" xfId="137" xr:uid="{D7AF2829-F62B-4978-B811-1E025AC1A204}"/>
    <cellStyle name="Comma 2 2" xfId="154" xr:uid="{359034E4-61F5-4D71-88FC-3CA3D1B6A6B1}"/>
    <cellStyle name="Currency 2" xfId="78" xr:uid="{00000000-0005-0000-0000-000016000000}"/>
    <cellStyle name="Encabezado 1" xfId="11" builtinId="16" customBuiltin="1"/>
    <cellStyle name="Encabezado 4" xfId="14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8" builtinId="20" customBuiltin="1"/>
    <cellStyle name="Excel Built-in Neutral" xfId="119" xr:uid="{00000000-0005-0000-0000-000020000000}"/>
    <cellStyle name="Hipervínculo" xfId="1" builtinId="8"/>
    <cellStyle name="Hipervínculo 2" xfId="81" xr:uid="{00000000-0005-0000-0000-000022000000}"/>
    <cellStyle name="Hipervínculo 3" xfId="82" xr:uid="{00000000-0005-0000-0000-000023000000}"/>
    <cellStyle name="Hipervínculo 4" xfId="83" xr:uid="{00000000-0005-0000-0000-000024000000}"/>
    <cellStyle name="Hipervínculo 5" xfId="84" xr:uid="{00000000-0005-0000-0000-000025000000}"/>
    <cellStyle name="Hipervínculo 6" xfId="85" xr:uid="{00000000-0005-0000-0000-000026000000}"/>
    <cellStyle name="Hipervínculo 7" xfId="80" xr:uid="{00000000-0005-0000-0000-000027000000}"/>
    <cellStyle name="Incorrecto" xfId="16" builtinId="27" customBuiltin="1"/>
    <cellStyle name="Millares 2" xfId="86" xr:uid="{00000000-0005-0000-0000-000029000000}"/>
    <cellStyle name="Moneda" xfId="2" builtinId="4"/>
    <cellStyle name="Moneda [0] 2" xfId="6" xr:uid="{00000000-0005-0000-0000-00002B000000}"/>
    <cellStyle name="Moneda [0] 2 2" xfId="77" xr:uid="{00000000-0005-0000-0000-00002C000000}"/>
    <cellStyle name="Moneda [0] 2 2 2" xfId="142" xr:uid="{84D9EC70-9BE1-4FBF-9E20-C9B340FF070E}"/>
    <cellStyle name="Moneda [0] 2 3" xfId="128" xr:uid="{BC4663D1-C309-452B-90A0-02C8196BF25C}"/>
    <cellStyle name="Moneda [0] 2 3 2" xfId="146" xr:uid="{7B0C2C03-7A9F-4CA5-9247-CE8DCC6C036F}"/>
    <cellStyle name="Moneda [0] 2 4" xfId="133" xr:uid="{86DA4AFB-9E82-41AE-B6F4-6F0993E79010}"/>
    <cellStyle name="Moneda [0] 2 4 2" xfId="151" xr:uid="{2D327808-AD2F-40D7-A316-5247BBC790FE}"/>
    <cellStyle name="Moneda [0] 2 5" xfId="135" xr:uid="{05ED17A7-63A1-4B69-9348-E7C26FD83E01}"/>
    <cellStyle name="Moneda [0] 2 5 2" xfId="153" xr:uid="{DA2ADF8F-B800-4DD6-AFA9-A9B1A500A015}"/>
    <cellStyle name="Moneda [0] 2 6" xfId="139" xr:uid="{9EED8F62-05EC-4B65-8AAD-3971D1650C78}"/>
    <cellStyle name="Moneda 10" xfId="144" xr:uid="{6AE61296-D390-4AA4-BC5E-87E287783AC0}"/>
    <cellStyle name="Moneda 11" xfId="140" xr:uid="{6068921F-F8E9-443E-A652-876DD89494E9}"/>
    <cellStyle name="Moneda 12" xfId="155" xr:uid="{C5B79AB1-57DC-49CC-956E-239B075C3406}"/>
    <cellStyle name="Moneda 13" xfId="143" xr:uid="{C5A8ED5D-12DD-46A5-BC0E-FAEA8D710A6C}"/>
    <cellStyle name="Moneda 2" xfId="76" xr:uid="{00000000-0005-0000-0000-00002D000000}"/>
    <cellStyle name="Moneda 2 2" xfId="141" xr:uid="{537D54C4-7039-4276-ADB1-B7B1D773D45A}"/>
    <cellStyle name="Moneda 3" xfId="127" xr:uid="{9E365842-14B0-4809-A9C1-82A3528705B9}"/>
    <cellStyle name="Moneda 3 2" xfId="145" xr:uid="{03D29C07-F04E-42D6-BAB6-BC83F54A14CB}"/>
    <cellStyle name="Moneda 4" xfId="129" xr:uid="{BD508642-26DF-43DA-A51D-3FCF5E8F0E9E}"/>
    <cellStyle name="Moneda 4 2" xfId="147" xr:uid="{ECC6F448-A987-4641-9301-705AB24E2FC1}"/>
    <cellStyle name="Moneda 5" xfId="130" xr:uid="{BDABA05C-3280-4897-A5C6-289E7180C183}"/>
    <cellStyle name="Moneda 5 2" xfId="148" xr:uid="{AACF5573-BB81-4C90-80EE-47BA2BA8525A}"/>
    <cellStyle name="Moneda 6" xfId="131" xr:uid="{504B6EBD-7AD2-454A-B04B-D3371CCDA5E4}"/>
    <cellStyle name="Moneda 6 2" xfId="149" xr:uid="{EC84D541-3414-4B9B-ABA9-017022A8FC1B}"/>
    <cellStyle name="Moneda 7" xfId="132" xr:uid="{A11CA048-D066-4F84-B160-8E362A072D47}"/>
    <cellStyle name="Moneda 7 2" xfId="150" xr:uid="{772C276C-3DF5-4C7F-BA24-A841B9948166}"/>
    <cellStyle name="Moneda 8" xfId="134" xr:uid="{A87BDB1C-FB63-4E36-811F-E1DDEDC51ADC}"/>
    <cellStyle name="Moneda 8 2" xfId="152" xr:uid="{B7963B4E-9753-4CB8-B235-5900AFDC3437}"/>
    <cellStyle name="Moneda 9" xfId="138" xr:uid="{98713D06-D372-40DD-8F19-EBE8C9A8D76D}"/>
    <cellStyle name="Neutral" xfId="17" builtinId="28" customBuiltin="1"/>
    <cellStyle name="Neutral 2" xfId="120" xr:uid="{89E64FF6-E8C6-4892-889C-FDFB705597BA}"/>
    <cellStyle name="Normal" xfId="0" builtinId="0"/>
    <cellStyle name="Normal 10" xfId="7" xr:uid="{00000000-0005-0000-0000-000030000000}"/>
    <cellStyle name="Normal 10 2" xfId="87" xr:uid="{00000000-0005-0000-0000-000031000000}"/>
    <cellStyle name="Normal 11" xfId="88" xr:uid="{00000000-0005-0000-0000-000032000000}"/>
    <cellStyle name="Normal 113" xfId="8" xr:uid="{00000000-0005-0000-0000-000033000000}"/>
    <cellStyle name="Normal 12" xfId="89" xr:uid="{00000000-0005-0000-0000-000034000000}"/>
    <cellStyle name="Normal 13" xfId="90" xr:uid="{00000000-0005-0000-0000-000035000000}"/>
    <cellStyle name="Normal 134" xfId="9" xr:uid="{00000000-0005-0000-0000-000036000000}"/>
    <cellStyle name="Normal 14" xfId="79" xr:uid="{00000000-0005-0000-0000-000037000000}"/>
    <cellStyle name="Normal 2" xfId="3" xr:uid="{00000000-0005-0000-0000-000038000000}"/>
    <cellStyle name="Normal 2 2" xfId="51" xr:uid="{00000000-0005-0000-0000-000039000000}"/>
    <cellStyle name="Normal 2 2 2" xfId="93" xr:uid="{00000000-0005-0000-0000-00003A000000}"/>
    <cellStyle name="Normal 2 2 3" xfId="94" xr:uid="{00000000-0005-0000-0000-00003B000000}"/>
    <cellStyle name="Normal 2 2 4" xfId="92" xr:uid="{00000000-0005-0000-0000-00003C000000}"/>
    <cellStyle name="Normal 2 3" xfId="95" xr:uid="{00000000-0005-0000-0000-00003D000000}"/>
    <cellStyle name="Normal 2 4" xfId="96" xr:uid="{00000000-0005-0000-0000-00003E000000}"/>
    <cellStyle name="Normal 2 5" xfId="91" xr:uid="{00000000-0005-0000-0000-00003F000000}"/>
    <cellStyle name="Normal 3" xfId="5" xr:uid="{00000000-0005-0000-0000-000040000000}"/>
    <cellStyle name="Normal 3 2" xfId="98" xr:uid="{00000000-0005-0000-0000-000041000000}"/>
    <cellStyle name="Normal 3 2 2" xfId="99" xr:uid="{00000000-0005-0000-0000-000042000000}"/>
    <cellStyle name="Normal 3 2 3" xfId="100" xr:uid="{00000000-0005-0000-0000-000043000000}"/>
    <cellStyle name="Normal 3 3" xfId="101" xr:uid="{00000000-0005-0000-0000-000044000000}"/>
    <cellStyle name="Normal 3 4" xfId="102" xr:uid="{00000000-0005-0000-0000-000045000000}"/>
    <cellStyle name="Normal 3 5" xfId="97" xr:uid="{00000000-0005-0000-0000-000046000000}"/>
    <cellStyle name="Normal 34" xfId="52" xr:uid="{00000000-0005-0000-0000-000047000000}"/>
    <cellStyle name="Normal 35" xfId="53" xr:uid="{00000000-0005-0000-0000-000048000000}"/>
    <cellStyle name="Normal 37" xfId="54" xr:uid="{00000000-0005-0000-0000-000049000000}"/>
    <cellStyle name="Normal 38" xfId="55" xr:uid="{00000000-0005-0000-0000-00004A000000}"/>
    <cellStyle name="Normal 39" xfId="56" xr:uid="{00000000-0005-0000-0000-00004B000000}"/>
    <cellStyle name="Normal 4" xfId="103" xr:uid="{00000000-0005-0000-0000-00004C000000}"/>
    <cellStyle name="Normal 4 2" xfId="104" xr:uid="{00000000-0005-0000-0000-00004D000000}"/>
    <cellStyle name="Normal 4 2 2" xfId="105" xr:uid="{00000000-0005-0000-0000-00004E000000}"/>
    <cellStyle name="Normal 4 3" xfId="106" xr:uid="{00000000-0005-0000-0000-00004F000000}"/>
    <cellStyle name="Normal 4 4" xfId="107" xr:uid="{00000000-0005-0000-0000-000050000000}"/>
    <cellStyle name="Normal 40" xfId="57" xr:uid="{00000000-0005-0000-0000-000051000000}"/>
    <cellStyle name="Normal 41" xfId="58" xr:uid="{00000000-0005-0000-0000-000052000000}"/>
    <cellStyle name="Normal 42" xfId="59" xr:uid="{00000000-0005-0000-0000-000053000000}"/>
    <cellStyle name="Normal 43" xfId="60" xr:uid="{00000000-0005-0000-0000-000054000000}"/>
    <cellStyle name="Normal 44" xfId="61" xr:uid="{00000000-0005-0000-0000-000055000000}"/>
    <cellStyle name="Normal 45" xfId="62" xr:uid="{00000000-0005-0000-0000-000056000000}"/>
    <cellStyle name="Normal 46" xfId="63" xr:uid="{00000000-0005-0000-0000-000057000000}"/>
    <cellStyle name="Normal 47" xfId="64" xr:uid="{00000000-0005-0000-0000-000058000000}"/>
    <cellStyle name="Normal 5" xfId="108" xr:uid="{00000000-0005-0000-0000-000059000000}"/>
    <cellStyle name="Normal 5 2" xfId="109" xr:uid="{00000000-0005-0000-0000-00005A000000}"/>
    <cellStyle name="Normal 50" xfId="65" xr:uid="{00000000-0005-0000-0000-00005B000000}"/>
    <cellStyle name="Normal 51" xfId="66" xr:uid="{00000000-0005-0000-0000-00005C000000}"/>
    <cellStyle name="Normal 52" xfId="67" xr:uid="{00000000-0005-0000-0000-00005D000000}"/>
    <cellStyle name="Normal 53" xfId="68" xr:uid="{00000000-0005-0000-0000-00005E000000}"/>
    <cellStyle name="Normal 54" xfId="69" xr:uid="{00000000-0005-0000-0000-00005F000000}"/>
    <cellStyle name="Normal 56" xfId="70" xr:uid="{00000000-0005-0000-0000-000060000000}"/>
    <cellStyle name="Normal 58" xfId="71" xr:uid="{00000000-0005-0000-0000-000061000000}"/>
    <cellStyle name="Normal 59" xfId="72" xr:uid="{00000000-0005-0000-0000-000062000000}"/>
    <cellStyle name="Normal 6" xfId="110" xr:uid="{00000000-0005-0000-0000-000063000000}"/>
    <cellStyle name="Normal 6 2" xfId="111" xr:uid="{00000000-0005-0000-0000-000064000000}"/>
    <cellStyle name="Normal 60" xfId="73" xr:uid="{00000000-0005-0000-0000-000065000000}"/>
    <cellStyle name="Normal 61" xfId="74" xr:uid="{00000000-0005-0000-0000-000066000000}"/>
    <cellStyle name="Normal 62" xfId="75" xr:uid="{00000000-0005-0000-0000-000067000000}"/>
    <cellStyle name="Normal 7" xfId="112" xr:uid="{00000000-0005-0000-0000-000068000000}"/>
    <cellStyle name="Normal 7 2" xfId="113" xr:uid="{00000000-0005-0000-0000-000069000000}"/>
    <cellStyle name="Normal 7 3" xfId="114" xr:uid="{00000000-0005-0000-0000-00006A000000}"/>
    <cellStyle name="Normal 8" xfId="115" xr:uid="{00000000-0005-0000-0000-00006B000000}"/>
    <cellStyle name="Normal 8 2" xfId="116" xr:uid="{00000000-0005-0000-0000-00006C000000}"/>
    <cellStyle name="Normal 8 3" xfId="117" xr:uid="{00000000-0005-0000-0000-00006D000000}"/>
    <cellStyle name="Normal 9" xfId="118" xr:uid="{00000000-0005-0000-0000-00006E000000}"/>
    <cellStyle name="Notas" xfId="24" builtinId="10" customBuiltin="1"/>
    <cellStyle name="Percent 2" xfId="136" xr:uid="{F53D571E-1D74-4F8D-AB98-7832CD173EB9}"/>
    <cellStyle name="Porcentaje" xfId="4" builtinId="5"/>
    <cellStyle name="Salida" xfId="19" builtinId="21" customBuiltin="1"/>
    <cellStyle name="Texto de advertencia" xfId="23" builtinId="11" customBuiltin="1"/>
    <cellStyle name="Texto explicativo" xfId="25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otal" xfId="26" builtinId="25" customBuiltin="1"/>
  </cellStyles>
  <dxfs count="65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 val="0"/>
        <i val="0"/>
        <color theme="8" tint="-0.499984740745262"/>
      </font>
      <fill>
        <patternFill>
          <bgColor rgb="FF92D050"/>
        </patternFill>
      </fill>
    </dxf>
    <dxf>
      <font>
        <b val="0"/>
        <i val="0"/>
        <color theme="0"/>
      </font>
      <fill>
        <patternFill>
          <bgColor theme="4" tint="-0.499984740745262"/>
        </patternFill>
      </fill>
    </dxf>
    <dxf>
      <font>
        <color rgb="FFFFFF00"/>
      </font>
      <fill>
        <patternFill>
          <bgColor theme="9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 val="0"/>
        <i val="0"/>
        <color theme="8" tint="-0.499984740745262"/>
      </font>
      <fill>
        <patternFill>
          <bgColor rgb="FF92D050"/>
        </patternFill>
      </fill>
    </dxf>
    <dxf>
      <font>
        <b val="0"/>
        <i val="0"/>
        <color theme="0"/>
      </font>
      <fill>
        <patternFill>
          <bgColor theme="4" tint="-0.499984740745262"/>
        </patternFill>
      </fill>
    </dxf>
    <dxf>
      <font>
        <color rgb="FFFFFF00"/>
      </font>
      <fill>
        <patternFill>
          <bgColor theme="9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9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color rgb="FFFF000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9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color rgb="FFFF0000"/>
      </font>
      <fill>
        <patternFill>
          <bgColor theme="8" tint="-0.499984740745262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9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2D050"/>
      </font>
      <fill>
        <patternFill>
          <bgColor theme="8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color rgb="FFFF0000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 val="0"/>
        <i val="0"/>
        <color theme="9" tint="0.39994506668294322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b val="0"/>
        <i val="0"/>
        <color rgb="FFFF0000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9"/>
      </font>
      <fill>
        <patternFill>
          <bgColor theme="8" tint="-0.499984740745262"/>
        </patternFill>
      </fill>
    </dxf>
    <dxf>
      <font>
        <b val="0"/>
        <i val="0"/>
        <color theme="9" tint="0.39994506668294322"/>
      </font>
      <fill>
        <patternFill>
          <bgColor theme="8" tint="-0.499984740745262"/>
        </patternFill>
      </fill>
    </dxf>
    <dxf>
      <font>
        <b/>
        <i val="0"/>
        <color rgb="FF92D050"/>
      </font>
      <fill>
        <patternFill>
          <bgColor theme="8" tint="-0.499984740745262"/>
        </patternFill>
      </fill>
    </dxf>
    <dxf>
      <font>
        <b val="0"/>
        <i val="0"/>
        <color rgb="FFFF0000"/>
      </font>
      <fill>
        <patternFill>
          <bgColor theme="8" tint="-0.499984740745262"/>
        </patternFill>
      </fill>
    </dxf>
    <dxf>
      <font>
        <color rgb="FFC0000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4"/>
      <tableStyleElement type="headerRow" dxfId="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wan Moreno" id="{D043C59C-CF0F-44B6-B769-91C24D58203D}" userId="S::duwan.moreno@smartproductscorp.onmicrosoft.com::8fdfa13c-4781-40ec-b972-7bae15f5df2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0" dT="2024-01-30T20:08:56.63" personId="{D043C59C-CF0F-44B6-B769-91C24D58203D}" id="{E961F194-AF3C-4F3F-A355-56244B41A48D}">
    <text>BONO 5TO PUESTO DIVIDIDO !!!!</text>
  </threadedComment>
  <threadedComment ref="Q14" dT="2024-01-30T20:08:56.63" personId="{D043C59C-CF0F-44B6-B769-91C24D58203D}" id="{DE4D972D-90B0-467E-A79F-0F5A2046C84D}">
    <text>BONO 5TO PUESTO DIVIDIDO !!!!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8" dT="2025-02-07T21:10:00.62" personId="{D043C59C-CF0F-44B6-B769-91C24D58203D}" id="{8DD79228-84FE-4DC5-AC5A-B9B5F9724E5C}">
    <text>A partir del corte 1ra Sem Feb-2025, Medible a partir de 1,300usd en la semana contemplando el valor de cada venta.</text>
  </threadedComment>
  <threadedComment ref="J8" dT="2025-02-07T21:10:13.28" personId="{D043C59C-CF0F-44B6-B769-91C24D58203D}" id="{E08E06B5-A143-4D66-95C6-EA252B80010E}">
    <text>A partir del corte 1ra Sem Feb-2025, a partir de 1,300usd en la semana, junto con el contero superior e inferior por venta.</text>
  </threadedComment>
  <threadedComment ref="L8" dT="2025-02-07T21:10:13.28" personId="{D043C59C-CF0F-44B6-B769-91C24D58203D}" id="{4974421C-551A-48CE-A467-6E1C6F2F0E30}">
    <text>A partir del corte 1ra Sem Feb-2025, a partir de 1,300usd en la semana, junto con el contero superior e inferior por venta.</text>
  </threadedComment>
  <threadedComment ref="Q8" dT="2023-03-15T20:56:10.18" personId="{D043C59C-CF0F-44B6-B769-91C24D58203D}" id="{0DBDBC85-1676-4A69-963D-4FDF81F67280}">
    <text>PARA RECIBIR BONO PPV DEBE SUPERAR $139,99 CON UN MÍNIMO DE 1.500 USD DE RECAUDO.</text>
  </threadedComment>
  <threadedComment ref="L13" dT="2024-01-30T20:08:56.63" personId="{D043C59C-CF0F-44B6-B769-91C24D58203D}" id="{89B8FD3B-54CE-4D88-9F28-FCA61FAB2884}">
    <text>BONO 2DO Y 3ER PUESTO DIVIDIDO !!!!</text>
  </threadedComment>
  <threadedComment ref="L14" dT="2024-01-30T20:08:56.63" personId="{D043C59C-CF0F-44B6-B769-91C24D58203D}" id="{D4FA9F05-708C-4ABB-8FA7-C2B892A4A95C}">
    <text>BONO 2DO Y 3ER PUESTO DIVIDIDO !!!!</text>
  </threadedComment>
  <threadedComment ref="L17" dT="2024-01-30T20:08:56.63" personId="{D043C59C-CF0F-44B6-B769-91C24D58203D}" id="{21FBB13F-A402-42EE-B4A1-BC74C049742A}">
    <text>BONO 2DO Y 3ER PUESTO DIVIDIDO !!!!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8" dT="2025-02-07T21:10:00.62" personId="{D043C59C-CF0F-44B6-B769-91C24D58203D}" id="{089DDE1C-37D4-4CA2-9321-AADF1CA0DBFC}">
    <text>A partir del corte 1ra Sem Feb-2025, Medible a partir de 1,300usd en la semana contemplando el valor de cada venta.</text>
  </threadedComment>
  <threadedComment ref="J8" dT="2025-02-07T21:10:13.28" personId="{D043C59C-CF0F-44B6-B769-91C24D58203D}" id="{14D9A45B-3F15-40F8-B332-4C9EE10446FF}">
    <text>A partir del corte 1ra Sem Feb-2025, a partir de 1,300usd en la semana, junto con el contero superior e inferior por venta.</text>
  </threadedComment>
  <threadedComment ref="L8" dT="2025-02-07T21:10:13.28" personId="{D043C59C-CF0F-44B6-B769-91C24D58203D}" id="{63C436E6-89B3-49B0-A51C-118A57D424E2}">
    <text>A partir del corte 1ra Sem Feb-2025, a partir de 1,300usd en la semana, junto con el contero superior e inferior por venta.</text>
  </threadedComment>
  <threadedComment ref="Q8" dT="2023-03-15T20:56:10.18" personId="{D043C59C-CF0F-44B6-B769-91C24D58203D}" id="{52E47E69-C036-4E0A-AACE-DC06C4C1E3EC}">
    <text>PARA RECIBIR BONO PPV DEBE SUPERAR $139,99 CON UN MÍNIMO DE 1.500 USD DE RECAUDO.</text>
  </threadedComment>
  <threadedComment ref="L11" dT="2024-01-30T20:08:56.63" personId="{D043C59C-CF0F-44B6-B769-91C24D58203D}" id="{E3C2E6FE-A6B6-4C7F-B78E-28403DC6D83E}">
    <text>BONO 3ER PUESTO DIVIDIDO !!!!</text>
  </threadedComment>
  <threadedComment ref="L12" dT="2024-01-30T20:08:56.63" personId="{D043C59C-CF0F-44B6-B769-91C24D58203D}" id="{0621CFC6-A6CA-4698-A0C3-E8E5FB6A360F}">
    <text>BONO 3ER PUESTO DIVIDIDO !!!!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5"/>
  </sheetPr>
  <dimension ref="A1:J19"/>
  <sheetViews>
    <sheetView showGridLines="0" showRowColHeaders="0" tabSelected="1" zoomScale="85" zoomScaleNormal="85" workbookViewId="0"/>
  </sheetViews>
  <sheetFormatPr baseColWidth="10" defaultColWidth="11.42578125" defaultRowHeight="15" customHeight="1"/>
  <cols>
    <col min="1" max="1" width="3" style="28" customWidth="1"/>
    <col min="2" max="2" width="62.42578125" style="28" customWidth="1"/>
    <col min="3" max="3" width="41.140625" style="28" customWidth="1"/>
    <col min="4" max="4" width="3" style="28" customWidth="1"/>
    <col min="5" max="5" width="28.28515625" style="28" customWidth="1"/>
    <col min="6" max="7" width="3" style="28" customWidth="1"/>
    <col min="8" max="16384" width="11.42578125" style="28"/>
  </cols>
  <sheetData>
    <row r="1" spans="1:6" ht="15" customHeight="1" thickBot="1">
      <c r="A1" s="28" t="s">
        <v>31</v>
      </c>
    </row>
    <row r="2" spans="1:6" ht="60" customHeight="1" thickTop="1" thickBot="1">
      <c r="B2" s="88" t="s">
        <v>173</v>
      </c>
      <c r="C2" s="89"/>
      <c r="D2" s="89"/>
      <c r="E2" s="90"/>
      <c r="F2" s="63"/>
    </row>
    <row r="3" spans="1:6" ht="15" customHeight="1" thickTop="1" thickBot="1"/>
    <row r="4" spans="1:6" ht="45" customHeight="1" thickTop="1" thickBot="1">
      <c r="B4" s="50" t="s">
        <v>4</v>
      </c>
      <c r="C4" s="50" t="s">
        <v>5</v>
      </c>
      <c r="E4" s="51" t="s">
        <v>52</v>
      </c>
    </row>
    <row r="5" spans="1:6" ht="45" customHeight="1" thickTop="1">
      <c r="B5" s="85" t="s">
        <v>27</v>
      </c>
      <c r="C5" s="55">
        <v>4342858.200000002</v>
      </c>
      <c r="E5" s="58">
        <v>1.6153564202496806E-3</v>
      </c>
    </row>
    <row r="6" spans="1:6" ht="45" customHeight="1">
      <c r="B6" s="86" t="s">
        <v>28</v>
      </c>
      <c r="C6" s="56">
        <v>2339649.3600000008</v>
      </c>
      <c r="E6" s="59">
        <v>6.8654493831545871E-2</v>
      </c>
    </row>
    <row r="7" spans="1:6" ht="45" customHeight="1">
      <c r="B7" s="86" t="s">
        <v>51</v>
      </c>
      <c r="C7" s="56">
        <v>0</v>
      </c>
      <c r="E7" s="59">
        <v>0</v>
      </c>
    </row>
    <row r="8" spans="1:6" ht="45" customHeight="1">
      <c r="B8" s="87" t="s">
        <v>106</v>
      </c>
      <c r="C8" s="57">
        <v>3056724.0000000009</v>
      </c>
      <c r="E8" s="60">
        <v>0.8992634641170214</v>
      </c>
    </row>
    <row r="9" spans="1:6" ht="45" customHeight="1">
      <c r="B9" s="87" t="s">
        <v>107</v>
      </c>
      <c r="C9" s="57">
        <v>53568.000000000022</v>
      </c>
      <c r="E9" s="60">
        <v>-0.36361152361152316</v>
      </c>
    </row>
    <row r="10" spans="1:6" ht="45" customHeight="1">
      <c r="B10" s="87" t="s">
        <v>86</v>
      </c>
      <c r="C10" s="57">
        <v>4486141.7280000011</v>
      </c>
      <c r="E10" s="60">
        <v>0.23867663207505996</v>
      </c>
    </row>
    <row r="11" spans="1:6" ht="45" customHeight="1" thickBot="1">
      <c r="B11" s="87" t="s">
        <v>87</v>
      </c>
      <c r="C11" s="57">
        <v>2829539.5472000008</v>
      </c>
      <c r="E11" s="60">
        <v>0.6495528877536727</v>
      </c>
    </row>
    <row r="12" spans="1:6" ht="45" customHeight="1" thickTop="1" thickBot="1">
      <c r="B12" s="54" t="s">
        <v>29</v>
      </c>
      <c r="C12" s="53">
        <v>17108480.835200004</v>
      </c>
      <c r="E12" s="52">
        <v>0.2464587163835521</v>
      </c>
    </row>
    <row r="13" spans="1:6" ht="45" customHeight="1" thickTop="1" thickBot="1">
      <c r="B13" s="61" t="s">
        <v>174</v>
      </c>
      <c r="C13" s="62">
        <v>17108480.835200004</v>
      </c>
    </row>
    <row r="14" spans="1:6" ht="15" customHeight="1" thickTop="1"/>
    <row r="15" spans="1:6" ht="15" customHeight="1">
      <c r="C15" s="42"/>
    </row>
    <row r="16" spans="1:6" ht="15" customHeight="1">
      <c r="C16" s="42"/>
    </row>
    <row r="17" spans="3:3" ht="15" customHeight="1">
      <c r="C17" s="46"/>
    </row>
    <row r="18" spans="3:3" ht="15" customHeight="1">
      <c r="C18" s="42"/>
    </row>
    <row r="19" spans="3:3" ht="15" customHeight="1">
      <c r="C19" s="42"/>
    </row>
  </sheetData>
  <mergeCells count="1">
    <mergeCell ref="B2:E2"/>
  </mergeCells>
  <conditionalFormatting sqref="C5:C11 E5:E11">
    <cfRule type="containsText" dxfId="62" priority="5" operator="containsText" text="VALIDAR">
      <formula>NOT(ISERROR(SEARCH("VALIDAR",C5)))</formula>
    </cfRule>
  </conditionalFormatting>
  <hyperlinks>
    <hyperlink ref="B5" location="'INBOUND AM'!B5" display="IN BOUND AM" xr:uid="{86EC27C3-01D7-474E-9431-EE4FEDA62D90}"/>
    <hyperlink ref="B6" location="'INBOUND PM'!B5" display="IN BOUND PM" xr:uid="{A9B7996D-0B1F-4753-9AC6-B216A52E066A}"/>
    <hyperlink ref="B7" location="'REDES INGLÉS'!B5" display="REDES INGLÉS" xr:uid="{D91B28BD-F568-4F53-B97B-57B13EC10BFB}"/>
    <hyperlink ref="B8" location="'REDES SOCIALES 1 AM'!B5" display="REDES 1 AM" xr:uid="{25687756-6FFA-4B22-B028-3A3C3C2267EA}"/>
    <hyperlink ref="B9" location="'REDES SOCIALES 1 PM'!B5" display="REDES 1 PM" xr:uid="{19F9A30D-AEE0-49B6-BD3C-58C1D468F578}"/>
    <hyperlink ref="B10" location="'BARRANQUILLA AM'!B5" display="BARRANQUILLA AM" xr:uid="{3694F560-E4ED-4F08-88F5-FC2697B26EAD}"/>
    <hyperlink ref="B11" location="'BARRANQUILLA PM'!B5" display="BARRANQUILLA PM" xr:uid="{F4229957-663A-491B-80D1-6BB3CD23E35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theme="4"/>
  </sheetPr>
  <dimension ref="A2:W20"/>
  <sheetViews>
    <sheetView showGridLines="0" showRowColHeaders="0" zoomScale="70" zoomScaleNormal="70" workbookViewId="0">
      <pane xSplit="4" ySplit="8" topLeftCell="E9" activePane="bottomRight" state="frozen"/>
      <selection sqref="A1:F1"/>
      <selection pane="topRight" sqref="A1:F1"/>
      <selection pane="bottomLeft" sqref="A1:F1"/>
      <selection pane="bottomRight" activeCell="B5" sqref="B5:D6"/>
    </sheetView>
  </sheetViews>
  <sheetFormatPr baseColWidth="10" defaultColWidth="10.85546875" defaultRowHeight="15" customHeight="1"/>
  <cols>
    <col min="1" max="1" width="3.28515625" style="4" customWidth="1"/>
    <col min="2" max="2" width="47.140625" style="2" customWidth="1"/>
    <col min="3" max="3" width="19.140625" style="2" bestFit="1" customWidth="1"/>
    <col min="4" max="4" width="27.28515625" style="2" customWidth="1"/>
    <col min="5" max="18" width="11.85546875" style="2" customWidth="1"/>
    <col min="19" max="19" width="11.85546875" style="5" customWidth="1"/>
    <col min="20" max="20" width="11.85546875" style="6" customWidth="1"/>
    <col min="21" max="21" width="11.85546875" style="2" customWidth="1"/>
    <col min="22" max="22" width="16.42578125" style="2" bestFit="1" customWidth="1"/>
    <col min="23" max="23" width="3.28515625" style="2" customWidth="1"/>
    <col min="24" max="16384" width="10.85546875" style="2"/>
  </cols>
  <sheetData>
    <row r="2" spans="2:23" ht="15" customHeight="1">
      <c r="V2" s="43" t="s">
        <v>30</v>
      </c>
    </row>
    <row r="3" spans="2:23" ht="15" customHeight="1">
      <c r="V3" s="44">
        <v>0</v>
      </c>
    </row>
    <row r="5" spans="2:23" ht="15" customHeight="1">
      <c r="B5" s="91" t="s">
        <v>172</v>
      </c>
      <c r="C5" s="91"/>
      <c r="D5" s="91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92">
        <v>3348.0000000000014</v>
      </c>
    </row>
    <row r="6" spans="2:23" ht="15" customHeight="1">
      <c r="B6" s="91"/>
      <c r="C6" s="91"/>
      <c r="D6" s="91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92"/>
    </row>
    <row r="7" spans="2:23" ht="15" customHeight="1">
      <c r="F7" s="33"/>
      <c r="G7" s="33"/>
      <c r="H7" s="33"/>
      <c r="I7" s="33"/>
      <c r="J7" s="38"/>
      <c r="K7" s="33"/>
    </row>
    <row r="8" spans="2:23" ht="45" customHeight="1">
      <c r="B8" s="7" t="s">
        <v>2</v>
      </c>
      <c r="C8" s="7" t="s">
        <v>8</v>
      </c>
      <c r="D8" s="7" t="s">
        <v>4</v>
      </c>
      <c r="E8" s="7" t="s">
        <v>19</v>
      </c>
      <c r="F8" s="9" t="s">
        <v>24</v>
      </c>
      <c r="G8" s="8" t="s">
        <v>36</v>
      </c>
      <c r="H8" s="8" t="s">
        <v>38</v>
      </c>
      <c r="I8" s="8" t="s">
        <v>37</v>
      </c>
      <c r="J8" s="49" t="s">
        <v>17</v>
      </c>
      <c r="K8" s="8" t="s">
        <v>20</v>
      </c>
      <c r="L8" s="40" t="s">
        <v>22</v>
      </c>
      <c r="M8" s="8" t="s">
        <v>21</v>
      </c>
      <c r="N8" s="9" t="s">
        <v>23</v>
      </c>
      <c r="O8" s="8" t="s">
        <v>3</v>
      </c>
      <c r="P8" s="9" t="s">
        <v>14</v>
      </c>
      <c r="Q8" s="8" t="s">
        <v>155</v>
      </c>
      <c r="R8" s="9" t="s">
        <v>156</v>
      </c>
      <c r="S8" s="10" t="s">
        <v>12</v>
      </c>
      <c r="T8" s="8" t="s">
        <v>11</v>
      </c>
      <c r="U8" s="8" t="s">
        <v>9</v>
      </c>
      <c r="V8" s="8" t="s">
        <v>10</v>
      </c>
    </row>
    <row r="9" spans="2:23" ht="15" customHeight="1">
      <c r="B9" s="11" t="s">
        <v>105</v>
      </c>
      <c r="C9" s="11" t="s">
        <v>104</v>
      </c>
      <c r="D9" s="48" t="s">
        <v>33</v>
      </c>
      <c r="E9" s="11">
        <v>30</v>
      </c>
      <c r="F9" s="12">
        <v>6000</v>
      </c>
      <c r="G9" s="12">
        <v>3347</v>
      </c>
      <c r="H9" s="12">
        <v>738</v>
      </c>
      <c r="I9" s="12">
        <v>1915</v>
      </c>
      <c r="J9" s="12">
        <v>112.84</v>
      </c>
      <c r="K9" s="12">
        <v>70</v>
      </c>
      <c r="L9" s="12">
        <v>25</v>
      </c>
      <c r="M9" s="66">
        <v>25</v>
      </c>
      <c r="N9" s="12">
        <v>20</v>
      </c>
      <c r="O9" s="30">
        <v>219.25925925925927</v>
      </c>
      <c r="P9" s="12">
        <v>20</v>
      </c>
      <c r="Q9" s="11">
        <v>2</v>
      </c>
      <c r="R9" s="12"/>
      <c r="S9" s="13">
        <v>0</v>
      </c>
      <c r="T9" s="20">
        <v>0</v>
      </c>
      <c r="U9" s="21">
        <v>247.84</v>
      </c>
      <c r="V9" s="12">
        <v>829768.3200000003</v>
      </c>
      <c r="W9"/>
    </row>
    <row r="10" spans="2:23" ht="15" customHeight="1">
      <c r="B10" s="11" t="s">
        <v>53</v>
      </c>
      <c r="C10" s="11" t="s">
        <v>6</v>
      </c>
      <c r="D10" s="48" t="s">
        <v>33</v>
      </c>
      <c r="E10" s="11">
        <v>26</v>
      </c>
      <c r="F10" s="12">
        <v>5598</v>
      </c>
      <c r="G10" s="12">
        <v>3095</v>
      </c>
      <c r="H10" s="12">
        <v>1729</v>
      </c>
      <c r="I10" s="12">
        <v>774</v>
      </c>
      <c r="J10" s="12">
        <v>100.35499999999999</v>
      </c>
      <c r="K10" s="12">
        <v>60</v>
      </c>
      <c r="L10" s="12">
        <v>20</v>
      </c>
      <c r="M10" s="66">
        <v>28</v>
      </c>
      <c r="N10" s="12">
        <v>25</v>
      </c>
      <c r="O10" s="30">
        <v>215.30769230769232</v>
      </c>
      <c r="P10" s="12">
        <v>5</v>
      </c>
      <c r="Q10" s="11">
        <v>3</v>
      </c>
      <c r="R10" s="12"/>
      <c r="S10" s="13">
        <v>0</v>
      </c>
      <c r="T10" s="20">
        <v>0</v>
      </c>
      <c r="U10" s="21">
        <v>210.35499999999999</v>
      </c>
      <c r="V10" s="12">
        <v>704268.54000000027</v>
      </c>
      <c r="W10"/>
    </row>
    <row r="11" spans="2:23" ht="15" customHeight="1">
      <c r="B11" s="11" t="s">
        <v>41</v>
      </c>
      <c r="C11" s="11" t="s">
        <v>40</v>
      </c>
      <c r="D11" s="48" t="s">
        <v>33</v>
      </c>
      <c r="E11" s="11">
        <v>25</v>
      </c>
      <c r="F11" s="12">
        <v>4676</v>
      </c>
      <c r="G11" s="12">
        <v>2448</v>
      </c>
      <c r="H11" s="12">
        <v>2228</v>
      </c>
      <c r="I11" s="12">
        <v>0</v>
      </c>
      <c r="J11" s="12">
        <v>81.28</v>
      </c>
      <c r="K11" s="12">
        <v>44</v>
      </c>
      <c r="L11" s="12">
        <v>12</v>
      </c>
      <c r="M11" s="66">
        <v>19</v>
      </c>
      <c r="N11" s="12"/>
      <c r="O11" s="30">
        <v>212.54545454545453</v>
      </c>
      <c r="P11" s="12"/>
      <c r="Q11" s="11">
        <v>0</v>
      </c>
      <c r="R11" s="12"/>
      <c r="S11" s="13">
        <v>0</v>
      </c>
      <c r="T11" s="20">
        <v>0</v>
      </c>
      <c r="U11" s="21">
        <v>137.28</v>
      </c>
      <c r="V11" s="12">
        <v>459613.44000000018</v>
      </c>
    </row>
    <row r="12" spans="2:23" ht="15" customHeight="1">
      <c r="B12" s="11" t="s">
        <v>144</v>
      </c>
      <c r="C12" s="11" t="s">
        <v>143</v>
      </c>
      <c r="D12" s="48" t="s">
        <v>33</v>
      </c>
      <c r="E12" s="11">
        <v>26</v>
      </c>
      <c r="F12" s="12">
        <v>4519</v>
      </c>
      <c r="G12" s="12">
        <v>3769</v>
      </c>
      <c r="H12" s="12">
        <v>750</v>
      </c>
      <c r="I12" s="12">
        <v>0</v>
      </c>
      <c r="J12" s="12">
        <v>71.534999999999997</v>
      </c>
      <c r="K12" s="12">
        <v>44</v>
      </c>
      <c r="L12" s="12"/>
      <c r="M12" s="66">
        <v>20</v>
      </c>
      <c r="N12" s="12"/>
      <c r="O12" s="30">
        <v>188.29166666666666</v>
      </c>
      <c r="P12" s="12"/>
      <c r="Q12" s="11">
        <v>1</v>
      </c>
      <c r="R12" s="12"/>
      <c r="S12" s="13">
        <v>0</v>
      </c>
      <c r="T12" s="20">
        <v>0</v>
      </c>
      <c r="U12" s="21">
        <v>115.535</v>
      </c>
      <c r="V12" s="12">
        <v>386811.18000000017</v>
      </c>
    </row>
    <row r="13" spans="2:23" ht="15" customHeight="1">
      <c r="B13" s="11" t="s">
        <v>165</v>
      </c>
      <c r="C13" s="11" t="s">
        <v>7</v>
      </c>
      <c r="D13" s="48" t="s">
        <v>33</v>
      </c>
      <c r="E13" s="11">
        <v>18</v>
      </c>
      <c r="F13" s="12">
        <v>4216</v>
      </c>
      <c r="G13" s="12">
        <v>1359</v>
      </c>
      <c r="H13" s="12">
        <v>1677</v>
      </c>
      <c r="I13" s="12">
        <v>1180</v>
      </c>
      <c r="J13" s="12">
        <v>83.424999999999997</v>
      </c>
      <c r="K13" s="12">
        <v>37</v>
      </c>
      <c r="L13" s="12"/>
      <c r="M13" s="66">
        <v>22</v>
      </c>
      <c r="N13" s="12"/>
      <c r="O13" s="30">
        <v>234.22222222222223</v>
      </c>
      <c r="P13" s="12">
        <v>25</v>
      </c>
      <c r="Q13" s="11">
        <v>2</v>
      </c>
      <c r="R13" s="12"/>
      <c r="S13" s="13">
        <v>0</v>
      </c>
      <c r="T13" s="20">
        <v>0</v>
      </c>
      <c r="U13" s="21">
        <v>145.42500000000001</v>
      </c>
      <c r="V13" s="12">
        <v>486882.90000000026</v>
      </c>
    </row>
    <row r="14" spans="2:23" ht="15" customHeight="1">
      <c r="B14" s="11" t="s">
        <v>57</v>
      </c>
      <c r="C14" s="11" t="s">
        <v>58</v>
      </c>
      <c r="D14" s="48" t="s">
        <v>33</v>
      </c>
      <c r="E14" s="11">
        <v>22</v>
      </c>
      <c r="F14" s="12">
        <v>4122</v>
      </c>
      <c r="G14" s="12">
        <v>2251</v>
      </c>
      <c r="H14" s="12">
        <v>1233</v>
      </c>
      <c r="I14" s="12">
        <v>638</v>
      </c>
      <c r="J14" s="12">
        <v>74.375</v>
      </c>
      <c r="K14" s="12">
        <v>37</v>
      </c>
      <c r="L14" s="12"/>
      <c r="M14" s="66">
        <v>19</v>
      </c>
      <c r="N14" s="12"/>
      <c r="O14" s="30">
        <v>216.94736842105263</v>
      </c>
      <c r="P14" s="12">
        <v>10</v>
      </c>
      <c r="Q14" s="11">
        <v>2</v>
      </c>
      <c r="R14" s="12"/>
      <c r="S14" s="13">
        <v>0</v>
      </c>
      <c r="T14" s="20">
        <v>0</v>
      </c>
      <c r="U14" s="21">
        <v>121.375</v>
      </c>
      <c r="V14" s="12">
        <v>406363.50000000017</v>
      </c>
    </row>
    <row r="15" spans="2:23" ht="15" customHeight="1">
      <c r="B15" s="11" t="s">
        <v>0</v>
      </c>
      <c r="C15" s="11" t="s">
        <v>47</v>
      </c>
      <c r="D15" s="48" t="s">
        <v>33</v>
      </c>
      <c r="E15" s="11">
        <v>18</v>
      </c>
      <c r="F15" s="12">
        <v>4091</v>
      </c>
      <c r="G15" s="12">
        <v>1641</v>
      </c>
      <c r="H15" s="12">
        <v>730</v>
      </c>
      <c r="I15" s="12">
        <v>1720</v>
      </c>
      <c r="J15" s="12">
        <v>82.215000000000003</v>
      </c>
      <c r="K15" s="12">
        <v>37</v>
      </c>
      <c r="L15" s="12"/>
      <c r="M15" s="66">
        <v>15</v>
      </c>
      <c r="N15" s="12"/>
      <c r="O15" s="30">
        <v>234.77777777777777</v>
      </c>
      <c r="P15" s="12">
        <v>40</v>
      </c>
      <c r="Q15" s="11">
        <v>0</v>
      </c>
      <c r="R15" s="12"/>
      <c r="S15" s="13">
        <v>0</v>
      </c>
      <c r="T15" s="20">
        <v>0</v>
      </c>
      <c r="U15" s="21">
        <v>159.215</v>
      </c>
      <c r="V15" s="12">
        <v>533051.82000000018</v>
      </c>
    </row>
    <row r="16" spans="2:23" ht="15" customHeight="1">
      <c r="B16" s="11" t="s">
        <v>129</v>
      </c>
      <c r="C16" s="11" t="s">
        <v>128</v>
      </c>
      <c r="D16" s="48" t="s">
        <v>33</v>
      </c>
      <c r="E16" s="11">
        <v>21</v>
      </c>
      <c r="F16" s="12">
        <v>3467</v>
      </c>
      <c r="G16" s="12">
        <v>2997</v>
      </c>
      <c r="H16" s="12">
        <v>470</v>
      </c>
      <c r="I16" s="12">
        <v>0</v>
      </c>
      <c r="J16" s="12">
        <v>54.354999999999997</v>
      </c>
      <c r="K16" s="12">
        <v>18</v>
      </c>
      <c r="L16" s="12"/>
      <c r="M16" s="66">
        <v>23</v>
      </c>
      <c r="N16" s="12">
        <v>12</v>
      </c>
      <c r="O16" s="30" t="s">
        <v>1</v>
      </c>
      <c r="P16" s="12"/>
      <c r="Q16" s="11">
        <v>5</v>
      </c>
      <c r="R16" s="12">
        <v>25</v>
      </c>
      <c r="S16" s="13">
        <v>0</v>
      </c>
      <c r="T16" s="20">
        <v>0</v>
      </c>
      <c r="U16" s="21">
        <v>109.35499999999999</v>
      </c>
      <c r="V16" s="12">
        <v>366120.5400000001</v>
      </c>
    </row>
    <row r="17" spans="2:22" ht="15" customHeight="1">
      <c r="B17" s="11" t="s">
        <v>118</v>
      </c>
      <c r="C17" s="11" t="s">
        <v>121</v>
      </c>
      <c r="D17" s="48" t="s">
        <v>33</v>
      </c>
      <c r="E17" s="11">
        <v>14</v>
      </c>
      <c r="F17" s="12">
        <v>2622</v>
      </c>
      <c r="G17" s="12">
        <v>0</v>
      </c>
      <c r="H17" s="12">
        <v>0</v>
      </c>
      <c r="I17" s="12">
        <v>0</v>
      </c>
      <c r="J17" s="12">
        <v>26.22</v>
      </c>
      <c r="K17" s="12">
        <v>0</v>
      </c>
      <c r="L17" s="12"/>
      <c r="M17" s="66" t="s">
        <v>1</v>
      </c>
      <c r="N17" s="12"/>
      <c r="O17" s="30" t="s">
        <v>1</v>
      </c>
      <c r="P17" s="12"/>
      <c r="Q17" s="11">
        <v>4</v>
      </c>
      <c r="R17" s="12"/>
      <c r="S17" s="13">
        <v>0</v>
      </c>
      <c r="T17" s="20">
        <v>0</v>
      </c>
      <c r="U17" s="21">
        <v>26.22</v>
      </c>
      <c r="V17" s="12">
        <v>87784.560000000027</v>
      </c>
    </row>
    <row r="18" spans="2:22" ht="15" customHeight="1">
      <c r="B18" s="11" t="s">
        <v>25</v>
      </c>
      <c r="C18" s="11" t="s">
        <v>26</v>
      </c>
      <c r="D18" s="48" t="s">
        <v>33</v>
      </c>
      <c r="E18" s="11">
        <v>14</v>
      </c>
      <c r="F18" s="12">
        <v>2455</v>
      </c>
      <c r="G18" s="12">
        <v>0</v>
      </c>
      <c r="H18" s="12">
        <v>0</v>
      </c>
      <c r="I18" s="12">
        <v>0</v>
      </c>
      <c r="J18" s="12">
        <v>24.55</v>
      </c>
      <c r="K18" s="12">
        <v>0</v>
      </c>
      <c r="L18" s="12"/>
      <c r="M18" s="66" t="s">
        <v>1</v>
      </c>
      <c r="N18" s="12"/>
      <c r="O18" s="30" t="s">
        <v>1</v>
      </c>
      <c r="P18" s="12"/>
      <c r="Q18" s="11">
        <v>1</v>
      </c>
      <c r="R18" s="12"/>
      <c r="S18" s="13">
        <v>0</v>
      </c>
      <c r="T18" s="20">
        <v>0</v>
      </c>
      <c r="U18" s="21">
        <v>24.55</v>
      </c>
      <c r="V18" s="12">
        <v>82193.400000000038</v>
      </c>
    </row>
    <row r="19" spans="2:22" ht="15" customHeight="1">
      <c r="V19" s="92">
        <v>4342858.200000002</v>
      </c>
    </row>
    <row r="20" spans="2:22" ht="15" customHeight="1">
      <c r="V20" s="92"/>
    </row>
  </sheetData>
  <mergeCells count="3">
    <mergeCell ref="B5:D6"/>
    <mergeCell ref="V19:V20"/>
    <mergeCell ref="V5:V6"/>
  </mergeCells>
  <conditionalFormatting sqref="F9:F18">
    <cfRule type="cellIs" dxfId="61" priority="1" operator="lessThan">
      <formula>2450</formula>
    </cfRule>
    <cfRule type="cellIs" dxfId="60" priority="2" operator="greaterThanOrEqual">
      <formula>3300</formula>
    </cfRule>
    <cfRule type="cellIs" dxfId="59" priority="3" operator="greaterThanOrEqual">
      <formula>2900</formula>
    </cfRule>
  </conditionalFormatting>
  <conditionalFormatting sqref="L9:L18 N9:N18 R9:R18">
    <cfRule type="expression" dxfId="58" priority="53">
      <formula>$F9&gt;=3300</formula>
    </cfRule>
  </conditionalFormatting>
  <conditionalFormatting sqref="M9:M18">
    <cfRule type="top10" dxfId="56" priority="43465" rank="3"/>
  </conditionalFormatting>
  <conditionalFormatting sqref="O9:O18">
    <cfRule type="cellIs" dxfId="55" priority="186" operator="greaterThan">
      <formula>209</formula>
    </cfRule>
  </conditionalFormatting>
  <conditionalFormatting sqref="P9:P18">
    <cfRule type="expression" dxfId="54" priority="13">
      <formula>$F9&gt;=3500</formula>
    </cfRule>
  </conditionalFormatting>
  <conditionalFormatting sqref="Q9:Q18">
    <cfRule type="cellIs" dxfId="53" priority="205" operator="greaterThanOrEqual">
      <formula>5</formula>
    </cfRule>
  </conditionalFormatting>
  <conditionalFormatting sqref="S9:S18">
    <cfRule type="iconSet" priority="4346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V9:V18">
    <cfRule type="dataBar" priority="43468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{1EE5DFD8-7071-4908-BEA5-26DB4E4C1031}</x14:id>
        </ext>
      </extLst>
    </cfRule>
  </conditionalFormatting>
  <dataValidations disablePrompts="1" count="2">
    <dataValidation type="list" allowBlank="1" showInputMessage="1" showErrorMessage="1" sqref="N9:N18 L9:L18 R9:R18" xr:uid="{F639455A-A1D3-472B-B691-F66234A8CD02}">
      <formula1>"25,20,12"</formula1>
    </dataValidation>
    <dataValidation type="list" allowBlank="1" showInputMessage="1" showErrorMessage="1" sqref="P9:P18" xr:uid="{424DFB86-4B86-411E-84A3-91D6A2824B29}">
      <formula1>"40,25,20,10,5"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4" operator="containsText" id="{8B2F10B7-D74C-4215-B5C2-E16A8A78B8DB}">
            <xm:f>NOT(ISERROR(SEARCH("-",M9)))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M9:M18 O9:O18 Q9:Q18</xm:sqref>
        </x14:conditionalFormatting>
        <x14:conditionalFormatting xmlns:xm="http://schemas.microsoft.com/office/excel/2006/main">
          <x14:cfRule type="dataBar" id="{1EE5DFD8-7071-4908-BEA5-26DB4E4C1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V9:V18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1F65-E809-4E32-99C0-C1B087124313}">
  <sheetPr>
    <tabColor theme="4"/>
  </sheetPr>
  <dimension ref="A2:W16"/>
  <sheetViews>
    <sheetView showGridLines="0" showRowColHeaders="0" zoomScale="70" zoomScaleNormal="70" workbookViewId="0">
      <pane xSplit="4" ySplit="8" topLeftCell="E9" activePane="bottomRight" state="frozen"/>
      <selection sqref="A1:F1"/>
      <selection pane="topRight" sqref="A1:F1"/>
      <selection pane="bottomLeft" sqref="A1:F1"/>
      <selection pane="bottomRight" activeCell="B5" sqref="B5:D6"/>
    </sheetView>
  </sheetViews>
  <sheetFormatPr baseColWidth="10" defaultColWidth="10.85546875" defaultRowHeight="15" customHeight="1"/>
  <cols>
    <col min="1" max="1" width="3.28515625" style="4" customWidth="1"/>
    <col min="2" max="2" width="47.140625" style="2" customWidth="1"/>
    <col min="3" max="3" width="19.140625" style="2" bestFit="1" customWidth="1"/>
    <col min="4" max="4" width="27.28515625" style="2" customWidth="1"/>
    <col min="5" max="18" width="11.85546875" style="2" customWidth="1"/>
    <col min="19" max="19" width="11.85546875" style="5" customWidth="1"/>
    <col min="20" max="20" width="11.85546875" style="6" customWidth="1"/>
    <col min="21" max="21" width="11.85546875" style="2" customWidth="1"/>
    <col min="22" max="22" width="16.42578125" style="2" bestFit="1" customWidth="1"/>
    <col min="23" max="23" width="3.28515625" style="2" customWidth="1"/>
    <col min="24" max="16384" width="10.85546875" style="2"/>
  </cols>
  <sheetData>
    <row r="2" spans="2:23" ht="15" customHeight="1">
      <c r="V2" s="43" t="s">
        <v>30</v>
      </c>
    </row>
    <row r="3" spans="2:23" ht="15" customHeight="1">
      <c r="V3" s="44">
        <v>0</v>
      </c>
    </row>
    <row r="5" spans="2:23" ht="15" customHeight="1">
      <c r="B5" s="91" t="s">
        <v>170</v>
      </c>
      <c r="C5" s="91"/>
      <c r="D5" s="91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92">
        <v>3348.0000000000014</v>
      </c>
    </row>
    <row r="6" spans="2:23" ht="15" customHeight="1">
      <c r="B6" s="91"/>
      <c r="C6" s="91"/>
      <c r="D6" s="91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92"/>
    </row>
    <row r="7" spans="2:23" ht="15" customHeight="1">
      <c r="F7" s="33"/>
      <c r="G7" s="33"/>
      <c r="H7" s="33"/>
      <c r="I7" s="33"/>
      <c r="J7" s="38"/>
      <c r="K7" s="33"/>
    </row>
    <row r="8" spans="2:23" ht="45" customHeight="1">
      <c r="B8" s="7" t="s">
        <v>2</v>
      </c>
      <c r="C8" s="7" t="s">
        <v>8</v>
      </c>
      <c r="D8" s="7" t="s">
        <v>4</v>
      </c>
      <c r="E8" s="7" t="s">
        <v>19</v>
      </c>
      <c r="F8" s="9" t="s">
        <v>24</v>
      </c>
      <c r="G8" s="8" t="s">
        <v>36</v>
      </c>
      <c r="H8" s="8" t="s">
        <v>38</v>
      </c>
      <c r="I8" s="8" t="s">
        <v>37</v>
      </c>
      <c r="J8" s="49" t="s">
        <v>17</v>
      </c>
      <c r="K8" s="8" t="s">
        <v>20</v>
      </c>
      <c r="L8" s="40" t="s">
        <v>22</v>
      </c>
      <c r="M8" s="8" t="s">
        <v>21</v>
      </c>
      <c r="N8" s="9" t="s">
        <v>23</v>
      </c>
      <c r="O8" s="8" t="s">
        <v>3</v>
      </c>
      <c r="P8" s="9" t="s">
        <v>14</v>
      </c>
      <c r="Q8" s="8" t="s">
        <v>155</v>
      </c>
      <c r="R8" s="9" t="s">
        <v>156</v>
      </c>
      <c r="S8" s="10" t="s">
        <v>12</v>
      </c>
      <c r="T8" s="8" t="s">
        <v>11</v>
      </c>
      <c r="U8" s="8" t="s">
        <v>9</v>
      </c>
      <c r="V8" s="8" t="s">
        <v>10</v>
      </c>
    </row>
    <row r="9" spans="2:23" ht="15" customHeight="1">
      <c r="B9" s="11" t="s">
        <v>130</v>
      </c>
      <c r="C9" s="11" t="s">
        <v>131</v>
      </c>
      <c r="D9" s="48" t="s">
        <v>34</v>
      </c>
      <c r="E9" s="11">
        <v>24</v>
      </c>
      <c r="F9" s="12">
        <v>4843</v>
      </c>
      <c r="G9" s="12">
        <v>3123</v>
      </c>
      <c r="H9" s="12">
        <v>1420</v>
      </c>
      <c r="I9" s="12">
        <v>300</v>
      </c>
      <c r="J9" s="12">
        <v>82.745000000000005</v>
      </c>
      <c r="K9" s="12">
        <v>47</v>
      </c>
      <c r="L9" s="12">
        <v>25</v>
      </c>
      <c r="M9" s="66">
        <v>16</v>
      </c>
      <c r="N9" s="12">
        <v>12</v>
      </c>
      <c r="O9" s="30">
        <v>201.79166666666666</v>
      </c>
      <c r="P9" s="12"/>
      <c r="Q9" s="11">
        <v>4</v>
      </c>
      <c r="R9" s="12"/>
      <c r="S9" s="13">
        <v>0</v>
      </c>
      <c r="T9" s="20">
        <v>0</v>
      </c>
      <c r="U9" s="21">
        <v>166.745</v>
      </c>
      <c r="V9" s="12">
        <v>558262.26000000024</v>
      </c>
      <c r="W9"/>
    </row>
    <row r="10" spans="2:23" ht="15" customHeight="1">
      <c r="B10" s="11" t="s">
        <v>117</v>
      </c>
      <c r="C10" s="11" t="s">
        <v>54</v>
      </c>
      <c r="D10" s="48" t="s">
        <v>34</v>
      </c>
      <c r="E10" s="11">
        <v>31</v>
      </c>
      <c r="F10" s="12">
        <v>4688</v>
      </c>
      <c r="G10" s="12">
        <v>2512</v>
      </c>
      <c r="H10" s="12">
        <v>1208</v>
      </c>
      <c r="I10" s="12">
        <v>968</v>
      </c>
      <c r="J10" s="12">
        <v>86.04</v>
      </c>
      <c r="K10" s="12">
        <v>44</v>
      </c>
      <c r="L10" s="12">
        <v>20</v>
      </c>
      <c r="M10" s="66">
        <v>29</v>
      </c>
      <c r="N10" s="12">
        <v>25</v>
      </c>
      <c r="O10" s="30">
        <v>213.09090909090909</v>
      </c>
      <c r="P10" s="12">
        <v>40</v>
      </c>
      <c r="Q10" s="11">
        <v>6</v>
      </c>
      <c r="R10" s="12">
        <v>20</v>
      </c>
      <c r="S10" s="13">
        <v>0</v>
      </c>
      <c r="T10" s="20">
        <v>0</v>
      </c>
      <c r="U10" s="21">
        <v>235.04000000000002</v>
      </c>
      <c r="V10" s="12">
        <v>786913.92000000039</v>
      </c>
      <c r="W10"/>
    </row>
    <row r="11" spans="2:23" ht="15" customHeight="1">
      <c r="B11" s="11" t="s">
        <v>56</v>
      </c>
      <c r="C11" s="11" t="s">
        <v>55</v>
      </c>
      <c r="D11" s="48" t="s">
        <v>34</v>
      </c>
      <c r="E11" s="11">
        <v>20</v>
      </c>
      <c r="F11" s="12">
        <v>3944</v>
      </c>
      <c r="G11" s="12">
        <v>3206</v>
      </c>
      <c r="H11" s="12">
        <v>738</v>
      </c>
      <c r="I11" s="12">
        <v>0</v>
      </c>
      <c r="J11" s="12">
        <v>62.849999999999994</v>
      </c>
      <c r="K11" s="12">
        <v>32</v>
      </c>
      <c r="L11" s="12">
        <v>12</v>
      </c>
      <c r="M11" s="66">
        <v>23</v>
      </c>
      <c r="N11" s="12">
        <v>20</v>
      </c>
      <c r="O11" s="30">
        <v>197.2</v>
      </c>
      <c r="P11" s="12"/>
      <c r="Q11" s="11">
        <v>7</v>
      </c>
      <c r="R11" s="12">
        <v>25</v>
      </c>
      <c r="S11" s="13">
        <v>0</v>
      </c>
      <c r="T11" s="20">
        <v>0</v>
      </c>
      <c r="U11" s="21">
        <v>151.85</v>
      </c>
      <c r="V11" s="12">
        <v>508393.80000000016</v>
      </c>
    </row>
    <row r="12" spans="2:23" ht="15" customHeight="1">
      <c r="B12" s="11" t="s">
        <v>145</v>
      </c>
      <c r="C12" s="11" t="s">
        <v>142</v>
      </c>
      <c r="D12" s="48" t="s">
        <v>34</v>
      </c>
      <c r="E12" s="11">
        <v>21</v>
      </c>
      <c r="F12" s="12">
        <v>3008</v>
      </c>
      <c r="G12" s="12">
        <v>2188</v>
      </c>
      <c r="H12" s="12">
        <v>520</v>
      </c>
      <c r="I12" s="12">
        <v>300</v>
      </c>
      <c r="J12" s="12">
        <v>50.72</v>
      </c>
      <c r="K12" s="12">
        <v>13</v>
      </c>
      <c r="L12" s="12"/>
      <c r="M12" s="66" t="s">
        <v>1</v>
      </c>
      <c r="N12" s="12"/>
      <c r="O12" s="30" t="s">
        <v>1</v>
      </c>
      <c r="P12" s="12"/>
      <c r="Q12" s="11">
        <v>2</v>
      </c>
      <c r="R12" s="12"/>
      <c r="S12" s="13">
        <v>0</v>
      </c>
      <c r="T12" s="20">
        <v>0</v>
      </c>
      <c r="U12" s="21">
        <v>63.72</v>
      </c>
      <c r="V12" s="12">
        <v>213334.56000000008</v>
      </c>
    </row>
    <row r="13" spans="2:23" ht="15" customHeight="1">
      <c r="B13" s="11" t="s">
        <v>35</v>
      </c>
      <c r="C13" s="11" t="s">
        <v>44</v>
      </c>
      <c r="D13" s="48" t="s">
        <v>34</v>
      </c>
      <c r="E13" s="11">
        <v>15</v>
      </c>
      <c r="F13" s="12">
        <v>2969</v>
      </c>
      <c r="G13" s="12">
        <v>1424</v>
      </c>
      <c r="H13" s="12">
        <v>1266</v>
      </c>
      <c r="I13" s="12">
        <v>279</v>
      </c>
      <c r="J13" s="12">
        <v>53.655000000000001</v>
      </c>
      <c r="K13" s="12">
        <v>0</v>
      </c>
      <c r="L13" s="12"/>
      <c r="M13" s="66" t="s">
        <v>1</v>
      </c>
      <c r="N13" s="12"/>
      <c r="O13" s="30" t="s">
        <v>1</v>
      </c>
      <c r="P13" s="12"/>
      <c r="Q13" s="11">
        <v>3</v>
      </c>
      <c r="R13" s="12"/>
      <c r="S13" s="13">
        <v>0</v>
      </c>
      <c r="T13" s="20">
        <v>0</v>
      </c>
      <c r="U13" s="21">
        <v>53.655000000000001</v>
      </c>
      <c r="V13" s="12">
        <v>179636.94000000009</v>
      </c>
    </row>
    <row r="14" spans="2:23" ht="15" customHeight="1">
      <c r="B14" s="11" t="s">
        <v>146</v>
      </c>
      <c r="C14" s="11" t="s">
        <v>148</v>
      </c>
      <c r="D14" s="48" t="s">
        <v>34</v>
      </c>
      <c r="E14" s="11">
        <v>16</v>
      </c>
      <c r="F14" s="12">
        <v>2781</v>
      </c>
      <c r="G14" s="12">
        <v>0</v>
      </c>
      <c r="H14" s="12">
        <v>0</v>
      </c>
      <c r="I14" s="12">
        <v>0</v>
      </c>
      <c r="J14" s="12">
        <v>27.810000000000002</v>
      </c>
      <c r="K14" s="12">
        <v>0</v>
      </c>
      <c r="L14" s="12"/>
      <c r="M14" s="66" t="s">
        <v>1</v>
      </c>
      <c r="N14" s="12"/>
      <c r="O14" s="30" t="s">
        <v>1</v>
      </c>
      <c r="P14" s="12"/>
      <c r="Q14" s="11">
        <v>3</v>
      </c>
      <c r="R14" s="12"/>
      <c r="S14" s="13">
        <v>0</v>
      </c>
      <c r="T14" s="20">
        <v>0</v>
      </c>
      <c r="U14" s="21">
        <v>27.810000000000002</v>
      </c>
      <c r="V14" s="12">
        <v>93107.880000000048</v>
      </c>
    </row>
    <row r="15" spans="2:23" ht="15" customHeight="1">
      <c r="V15" s="92">
        <v>2339649.3600000008</v>
      </c>
    </row>
    <row r="16" spans="2:23" ht="15" customHeight="1">
      <c r="V16" s="92"/>
    </row>
  </sheetData>
  <mergeCells count="3">
    <mergeCell ref="V15:V16"/>
    <mergeCell ref="B5:D6"/>
    <mergeCell ref="V5:V6"/>
  </mergeCells>
  <conditionalFormatting sqref="F9:F14">
    <cfRule type="cellIs" dxfId="52" priority="1" operator="lessThanOrEqual">
      <formula>2450</formula>
    </cfRule>
    <cfRule type="cellIs" dxfId="51" priority="2" operator="greaterThanOrEqual">
      <formula>3300</formula>
    </cfRule>
    <cfRule type="cellIs" dxfId="50" priority="3" operator="greaterThanOrEqual">
      <formula>2900</formula>
    </cfRule>
  </conditionalFormatting>
  <conditionalFormatting sqref="L9:L14 N9:N14 R9:R14">
    <cfRule type="expression" dxfId="49" priority="5">
      <formula>$F9&gt;=3300</formula>
    </cfRule>
  </conditionalFormatting>
  <conditionalFormatting sqref="M9:M14">
    <cfRule type="top10" dxfId="47" priority="43986" rank="3"/>
  </conditionalFormatting>
  <conditionalFormatting sqref="O9:O14">
    <cfRule type="cellIs" dxfId="46" priority="7" operator="greaterThan">
      <formula>209</formula>
    </cfRule>
  </conditionalFormatting>
  <conditionalFormatting sqref="P9:P14">
    <cfRule type="expression" dxfId="45" priority="4">
      <formula>$F9&gt;=3500</formula>
    </cfRule>
  </conditionalFormatting>
  <conditionalFormatting sqref="Q9:Q14">
    <cfRule type="cellIs" dxfId="44" priority="8" operator="greaterThanOrEqual">
      <formula>5</formula>
    </cfRule>
  </conditionalFormatting>
  <conditionalFormatting sqref="S9:S14">
    <cfRule type="iconSet" priority="4399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V9:V14">
    <cfRule type="dataBar" priority="43996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{2577B895-2F90-4BF4-A23A-59E4515AA15C}</x14:id>
        </ext>
      </extLst>
    </cfRule>
  </conditionalFormatting>
  <dataValidations disablePrompts="1" count="2">
    <dataValidation type="list" allowBlank="1" showInputMessage="1" showErrorMessage="1" sqref="P9:P14" xr:uid="{C0133D82-85D8-4E8B-A08B-B60448CDA71B}">
      <formula1>"40,25,20,10,5"</formula1>
    </dataValidation>
    <dataValidation type="list" allowBlank="1" showInputMessage="1" showErrorMessage="1" sqref="N9:N14 L9:L14 R9:R14" xr:uid="{87B5B24F-4FEE-45E3-827A-03235E31FC74}">
      <formula1>"25,20,12"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87FC0EBC-89A9-4248-9878-5FB4B64C4396}">
            <xm:f>NOT(ISERROR(SEARCH("-",M9)))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M9:M14 O9:O14 Q9:Q14</xm:sqref>
        </x14:conditionalFormatting>
        <x14:conditionalFormatting xmlns:xm="http://schemas.microsoft.com/office/excel/2006/main">
          <x14:cfRule type="dataBar" id="{2577B895-2F90-4BF4-A23A-59E4515AA1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V9:V14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FDD3-E7DD-4984-BF84-4637AD6BBB9A}">
  <sheetPr>
    <tabColor theme="4" tint="-0.249977111117893"/>
  </sheetPr>
  <dimension ref="A1:U19"/>
  <sheetViews>
    <sheetView showGridLines="0" showRowColHeaders="0" zoomScale="70" zoomScaleNormal="70" workbookViewId="0">
      <pane xSplit="4" ySplit="8" topLeftCell="E9" activePane="bottomRight" state="frozen"/>
      <selection activeCell="B2" sqref="B2:F2"/>
      <selection pane="topRight" activeCell="B2" sqref="B2:F2"/>
      <selection pane="bottomLeft" activeCell="B2" sqref="B2:F2"/>
      <selection pane="bottomRight" activeCell="B5" sqref="B5:D6"/>
    </sheetView>
  </sheetViews>
  <sheetFormatPr baseColWidth="10" defaultColWidth="11.42578125" defaultRowHeight="15" customHeight="1"/>
  <cols>
    <col min="1" max="1" width="3.28515625" style="4" customWidth="1"/>
    <col min="2" max="2" width="47.140625" style="3" customWidth="1"/>
    <col min="3" max="3" width="19.140625" style="3" bestFit="1" customWidth="1"/>
    <col min="4" max="4" width="27.28515625" style="3" customWidth="1"/>
    <col min="5" max="6" width="23.7109375" style="3" customWidth="1"/>
    <col min="7" max="19" width="11.85546875" style="3" customWidth="1"/>
    <col min="20" max="20" width="16.42578125" style="3" customWidth="1"/>
    <col min="21" max="21" width="3.28515625" style="3" customWidth="1"/>
    <col min="22" max="16384" width="11.42578125" style="3"/>
  </cols>
  <sheetData>
    <row r="1" spans="2:21" ht="15" customHeight="1">
      <c r="E1" s="37"/>
      <c r="F1" s="37"/>
    </row>
    <row r="2" spans="2:21" ht="15" customHeight="1">
      <c r="E2" s="37"/>
      <c r="F2" s="37"/>
      <c r="T2" s="43" t="s">
        <v>30</v>
      </c>
    </row>
    <row r="3" spans="2:21" ht="15" customHeight="1">
      <c r="E3" s="37"/>
      <c r="F3" s="37"/>
      <c r="R3" s="39"/>
      <c r="S3" s="45"/>
      <c r="T3" s="44">
        <v>0</v>
      </c>
    </row>
    <row r="4" spans="2:21" ht="15" customHeight="1">
      <c r="E4" s="37"/>
      <c r="F4" s="37"/>
    </row>
    <row r="5" spans="2:21" ht="15" customHeight="1">
      <c r="B5" s="91" t="s">
        <v>171</v>
      </c>
      <c r="C5" s="91"/>
      <c r="D5" s="91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92">
        <v>3348.0000000000014</v>
      </c>
    </row>
    <row r="6" spans="2:21" ht="15" customHeight="1">
      <c r="B6" s="91"/>
      <c r="C6" s="91"/>
      <c r="D6" s="91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92"/>
    </row>
    <row r="7" spans="2:21" ht="15" customHeight="1"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21" ht="45" customHeight="1">
      <c r="B8" s="7" t="s">
        <v>2</v>
      </c>
      <c r="C8" s="7" t="s">
        <v>8</v>
      </c>
      <c r="D8" s="7" t="s">
        <v>4</v>
      </c>
      <c r="E8" s="36" t="s">
        <v>19</v>
      </c>
      <c r="F8" s="64" t="s">
        <v>24</v>
      </c>
      <c r="G8" s="8" t="s">
        <v>48</v>
      </c>
      <c r="H8" s="8" t="s">
        <v>49</v>
      </c>
      <c r="I8" s="8" t="s">
        <v>50</v>
      </c>
      <c r="J8" s="49" t="s">
        <v>17</v>
      </c>
      <c r="K8" s="29" t="s">
        <v>15</v>
      </c>
      <c r="L8" s="9" t="s">
        <v>16</v>
      </c>
      <c r="M8" s="8" t="s">
        <v>3</v>
      </c>
      <c r="N8" s="9" t="s">
        <v>14</v>
      </c>
      <c r="O8" s="8" t="s">
        <v>18</v>
      </c>
      <c r="P8" s="29" t="s">
        <v>13</v>
      </c>
      <c r="Q8" s="10" t="s">
        <v>12</v>
      </c>
      <c r="R8" s="8" t="s">
        <v>11</v>
      </c>
      <c r="S8" s="8" t="s">
        <v>9</v>
      </c>
      <c r="T8" s="8" t="s">
        <v>10</v>
      </c>
    </row>
    <row r="9" spans="2:21" ht="15" customHeight="1">
      <c r="B9" s="67"/>
      <c r="C9" s="11"/>
      <c r="D9" s="34" t="s">
        <v>32</v>
      </c>
      <c r="E9" s="35"/>
      <c r="F9" s="12"/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/>
      <c r="M9" s="65" t="s">
        <v>1</v>
      </c>
      <c r="N9" s="12"/>
      <c r="O9" s="32" t="s">
        <v>1</v>
      </c>
      <c r="P9" s="12"/>
      <c r="Q9" s="13">
        <v>0</v>
      </c>
      <c r="R9" s="12">
        <v>0</v>
      </c>
      <c r="S9" s="12">
        <v>0</v>
      </c>
      <c r="T9" s="12">
        <v>0</v>
      </c>
    </row>
    <row r="10" spans="2:21" ht="15" customHeight="1">
      <c r="B10" s="67"/>
      <c r="C10" s="11"/>
      <c r="D10" s="34" t="s">
        <v>32</v>
      </c>
      <c r="E10" s="35"/>
      <c r="F10" s="12"/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/>
      <c r="M10" s="65" t="s">
        <v>1</v>
      </c>
      <c r="N10" s="12"/>
      <c r="O10" s="32" t="s">
        <v>1</v>
      </c>
      <c r="P10" s="12"/>
      <c r="Q10" s="13">
        <v>0</v>
      </c>
      <c r="R10" s="12">
        <v>0</v>
      </c>
      <c r="S10" s="12">
        <v>0</v>
      </c>
      <c r="T10" s="12">
        <v>0</v>
      </c>
    </row>
    <row r="11" spans="2:21" ht="15" customHeight="1">
      <c r="B11" s="2"/>
      <c r="C11" s="2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93">
        <v>0</v>
      </c>
    </row>
    <row r="12" spans="2:21" ht="15" customHeight="1">
      <c r="B12" s="2"/>
      <c r="C12" s="2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94"/>
    </row>
    <row r="13" spans="2:21" ht="15" customHeight="1">
      <c r="B13" s="2"/>
      <c r="C13" s="2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175</v>
      </c>
    </row>
    <row r="14" spans="2:21" ht="15" customHeight="1">
      <c r="B14" s="2"/>
      <c r="C14" s="2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7"/>
      <c r="T14" s="2"/>
      <c r="U14"/>
    </row>
    <row r="15" spans="2:21" ht="15" customHeight="1">
      <c r="B15" s="2"/>
      <c r="C15" s="2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7"/>
      <c r="T15" s="2"/>
      <c r="U15"/>
    </row>
    <row r="16" spans="2:21" ht="15" customHeight="1">
      <c r="B16" s="2"/>
      <c r="C16" s="2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5" customHeight="1">
      <c r="B17" s="2"/>
      <c r="C17" s="2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15" customHeight="1">
      <c r="B18" s="2"/>
      <c r="C18" s="2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5" customHeight="1">
      <c r="B19" s="2"/>
      <c r="C19" s="2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mergeCells count="3">
    <mergeCell ref="B5:D6"/>
    <mergeCell ref="T5:T6"/>
    <mergeCell ref="T11:T12"/>
  </mergeCells>
  <conditionalFormatting sqref="E9:E10">
    <cfRule type="cellIs" dxfId="43" priority="1" operator="lessThanOrEqual">
      <formula>6</formula>
    </cfRule>
    <cfRule type="cellIs" dxfId="42" priority="2" operator="greaterThanOrEqual">
      <formula>10</formula>
    </cfRule>
    <cfRule type="cellIs" dxfId="41" priority="3" operator="greaterThanOrEqual">
      <formula>7</formula>
    </cfRule>
  </conditionalFormatting>
  <conditionalFormatting sqref="L9:L10 N9:N10">
    <cfRule type="expression" dxfId="40" priority="8">
      <formula>$E9&gt;=10</formula>
    </cfRule>
  </conditionalFormatting>
  <conditionalFormatting sqref="M9:M10">
    <cfRule type="cellIs" dxfId="38" priority="9" operator="greaterThanOrEqual">
      <formula>259</formula>
    </cfRule>
  </conditionalFormatting>
  <conditionalFormatting sqref="O9:O10">
    <cfRule type="cellIs" dxfId="37" priority="11" operator="greaterThanOrEqual">
      <formula>5</formula>
    </cfRule>
  </conditionalFormatting>
  <conditionalFormatting sqref="P9:P10">
    <cfRule type="expression" dxfId="36" priority="13153">
      <formula>$E9&gt;=10</formula>
    </cfRule>
  </conditionalFormatting>
  <conditionalFormatting sqref="Q9:Q10">
    <cfRule type="iconSet" priority="3776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T9:T10">
    <cfRule type="dataBar" priority="37764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{ACBF8B6A-ACE2-49C1-8457-8998C1E906B0}</x14:id>
        </ext>
      </extLst>
    </cfRule>
  </conditionalFormatting>
  <dataValidations disablePrompts="1" count="2">
    <dataValidation type="list" allowBlank="1" showInputMessage="1" showErrorMessage="1" sqref="N9:N10" xr:uid="{96F149C3-B8DF-4FAD-9936-B5A215E79315}">
      <formula1>"40,20,10"</formula1>
    </dataValidation>
    <dataValidation type="list" allowBlank="1" showInputMessage="1" showErrorMessage="1" sqref="P9:P10 L9:L10" xr:uid="{2AA9CCC9-BC66-4B2C-A7FC-59D1FD4869D5}">
      <formula1>"15,10,8"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05CD3E40-8DF1-44E3-AA2A-8750683F4271}">
            <xm:f>NOT(ISERROR(SEARCH("-",M9)))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M9:M10 O9:O10</xm:sqref>
        </x14:conditionalFormatting>
        <x14:conditionalFormatting xmlns:xm="http://schemas.microsoft.com/office/excel/2006/main">
          <x14:cfRule type="dataBar" id="{ACBF8B6A-ACE2-49C1-8457-8998C1E90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T9:T10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>
    <tabColor theme="4" tint="-0.499984740745262"/>
  </sheetPr>
  <dimension ref="A1:V32"/>
  <sheetViews>
    <sheetView showGridLines="0" showRowColHeaders="0" zoomScale="70" zoomScaleNormal="70" workbookViewId="0">
      <pane xSplit="4" ySplit="8" topLeftCell="E9" activePane="bottomRight" state="frozen"/>
      <selection activeCell="B2" sqref="B2:F2"/>
      <selection pane="topRight" activeCell="B2" sqref="B2:F2"/>
      <selection pane="bottomLeft" activeCell="B2" sqref="B2:F2"/>
      <selection pane="bottomRight" activeCell="B5" sqref="B5:D6"/>
    </sheetView>
  </sheetViews>
  <sheetFormatPr baseColWidth="10" defaultColWidth="11.42578125" defaultRowHeight="15" customHeight="1"/>
  <cols>
    <col min="1" max="1" width="3.28515625" style="4" customWidth="1"/>
    <col min="2" max="2" width="47.140625" style="3" customWidth="1"/>
    <col min="3" max="3" width="19.140625" style="3" bestFit="1" customWidth="1"/>
    <col min="4" max="4" width="27.28515625" style="3" customWidth="1"/>
    <col min="5" max="5" width="23.7109375" style="3" customWidth="1"/>
    <col min="6" max="20" width="11.85546875" style="3" customWidth="1"/>
    <col min="21" max="21" width="16.42578125" style="3" customWidth="1"/>
    <col min="22" max="22" width="3.28515625" style="3" customWidth="1"/>
    <col min="23" max="16384" width="11.42578125" style="3"/>
  </cols>
  <sheetData>
    <row r="1" spans="2:22" ht="15" customHeight="1">
      <c r="E1" s="37"/>
    </row>
    <row r="2" spans="2:22" ht="15" customHeight="1">
      <c r="E2" s="37"/>
      <c r="U2" s="43" t="s">
        <v>30</v>
      </c>
    </row>
    <row r="3" spans="2:22" ht="15" customHeight="1">
      <c r="E3" s="37"/>
      <c r="S3" s="39"/>
      <c r="T3" s="45"/>
      <c r="U3" s="44">
        <v>0</v>
      </c>
    </row>
    <row r="5" spans="2:22" ht="15" customHeight="1">
      <c r="B5" s="91" t="s">
        <v>167</v>
      </c>
      <c r="C5" s="91"/>
      <c r="D5" s="91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92">
        <v>3348.0000000000014</v>
      </c>
    </row>
    <row r="6" spans="2:22" ht="15" customHeight="1">
      <c r="B6" s="91"/>
      <c r="C6" s="91"/>
      <c r="D6" s="91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92"/>
    </row>
    <row r="7" spans="2:22" ht="15" customHeight="1">
      <c r="B7" s="1"/>
      <c r="C7" s="1"/>
      <c r="D7" s="1"/>
      <c r="E7" s="1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45" customHeight="1">
      <c r="B8" s="7" t="s">
        <v>2</v>
      </c>
      <c r="C8" s="7" t="s">
        <v>8</v>
      </c>
      <c r="D8" s="7" t="s">
        <v>4</v>
      </c>
      <c r="E8" s="36" t="s">
        <v>19</v>
      </c>
      <c r="F8" s="8" t="s">
        <v>39</v>
      </c>
      <c r="G8" s="8" t="s">
        <v>36</v>
      </c>
      <c r="H8" s="8" t="s">
        <v>38</v>
      </c>
      <c r="I8" s="49" t="s">
        <v>17</v>
      </c>
      <c r="J8" s="29" t="s">
        <v>15</v>
      </c>
      <c r="K8" s="9" t="s">
        <v>16</v>
      </c>
      <c r="L8" s="8" t="s">
        <v>21</v>
      </c>
      <c r="M8" s="9" t="s">
        <v>23</v>
      </c>
      <c r="N8" s="8" t="s">
        <v>3</v>
      </c>
      <c r="O8" s="9" t="s">
        <v>14</v>
      </c>
      <c r="P8" s="8" t="s">
        <v>18</v>
      </c>
      <c r="Q8" s="29" t="s">
        <v>13</v>
      </c>
      <c r="R8" s="10" t="s">
        <v>12</v>
      </c>
      <c r="S8" s="8" t="s">
        <v>11</v>
      </c>
      <c r="T8" s="8" t="s">
        <v>9</v>
      </c>
      <c r="U8" s="8" t="s">
        <v>10</v>
      </c>
    </row>
    <row r="9" spans="2:22" ht="15" customHeight="1">
      <c r="B9" s="11" t="s">
        <v>139</v>
      </c>
      <c r="C9" s="11" t="s">
        <v>136</v>
      </c>
      <c r="D9" s="34" t="s">
        <v>110</v>
      </c>
      <c r="E9" s="35">
        <v>21</v>
      </c>
      <c r="F9" s="31">
        <v>12</v>
      </c>
      <c r="G9" s="31">
        <v>9</v>
      </c>
      <c r="H9" s="31">
        <v>0</v>
      </c>
      <c r="I9" s="12">
        <v>78</v>
      </c>
      <c r="J9" s="12">
        <v>45</v>
      </c>
      <c r="K9" s="12">
        <v>25</v>
      </c>
      <c r="L9" s="66">
        <v>18</v>
      </c>
      <c r="M9" s="12">
        <v>8</v>
      </c>
      <c r="N9" s="30">
        <v>174.57142857142858</v>
      </c>
      <c r="O9" s="12"/>
      <c r="P9" s="32">
        <v>13</v>
      </c>
      <c r="Q9" s="12">
        <v>25</v>
      </c>
      <c r="R9" s="13">
        <v>0</v>
      </c>
      <c r="S9" s="12">
        <v>0</v>
      </c>
      <c r="T9" s="12">
        <v>181</v>
      </c>
      <c r="U9" s="12">
        <v>605988.00000000023</v>
      </c>
    </row>
    <row r="10" spans="2:22" ht="15" customHeight="1">
      <c r="B10" s="11" t="s">
        <v>46</v>
      </c>
      <c r="C10" s="11" t="s">
        <v>45</v>
      </c>
      <c r="D10" s="34" t="s">
        <v>110</v>
      </c>
      <c r="E10" s="35">
        <v>15</v>
      </c>
      <c r="F10" s="31">
        <v>13</v>
      </c>
      <c r="G10" s="31">
        <v>2</v>
      </c>
      <c r="H10" s="31">
        <v>0</v>
      </c>
      <c r="I10" s="12">
        <v>45.75</v>
      </c>
      <c r="J10" s="12">
        <v>27</v>
      </c>
      <c r="K10" s="12">
        <v>12</v>
      </c>
      <c r="L10" s="66">
        <v>20</v>
      </c>
      <c r="M10" s="12">
        <v>25</v>
      </c>
      <c r="N10" s="30">
        <v>163.66666666666666</v>
      </c>
      <c r="O10" s="12"/>
      <c r="P10" s="32">
        <v>6</v>
      </c>
      <c r="Q10" s="12">
        <v>4</v>
      </c>
      <c r="R10" s="13">
        <v>0</v>
      </c>
      <c r="S10" s="12">
        <v>0</v>
      </c>
      <c r="T10" s="12">
        <v>113.75</v>
      </c>
      <c r="U10" s="12">
        <v>380835.00000000017</v>
      </c>
      <c r="V10"/>
    </row>
    <row r="11" spans="2:22" ht="15" customHeight="1">
      <c r="B11" s="11" t="s">
        <v>100</v>
      </c>
      <c r="C11" s="11" t="s">
        <v>99</v>
      </c>
      <c r="D11" s="34" t="s">
        <v>110</v>
      </c>
      <c r="E11" s="35">
        <v>14</v>
      </c>
      <c r="F11" s="31">
        <v>5</v>
      </c>
      <c r="G11" s="31">
        <v>9</v>
      </c>
      <c r="H11" s="31">
        <v>0</v>
      </c>
      <c r="I11" s="12">
        <v>58.75</v>
      </c>
      <c r="J11" s="12">
        <v>19</v>
      </c>
      <c r="K11" s="12">
        <v>8</v>
      </c>
      <c r="L11" s="66">
        <v>14</v>
      </c>
      <c r="M11" s="12"/>
      <c r="N11" s="30">
        <v>182.14285714285714</v>
      </c>
      <c r="O11" s="12"/>
      <c r="P11" s="32">
        <v>7</v>
      </c>
      <c r="Q11" s="12">
        <v>10</v>
      </c>
      <c r="R11" s="13">
        <v>0</v>
      </c>
      <c r="S11" s="12">
        <v>0</v>
      </c>
      <c r="T11" s="12">
        <v>95.75</v>
      </c>
      <c r="U11" s="12">
        <v>320571.00000000012</v>
      </c>
    </row>
    <row r="12" spans="2:22" ht="15" customHeight="1">
      <c r="B12" s="11" t="s">
        <v>114</v>
      </c>
      <c r="C12" s="11" t="s">
        <v>115</v>
      </c>
      <c r="D12" s="34" t="s">
        <v>110</v>
      </c>
      <c r="E12" s="35">
        <v>13</v>
      </c>
      <c r="F12" s="31">
        <v>1</v>
      </c>
      <c r="G12" s="31">
        <v>9</v>
      </c>
      <c r="H12" s="31">
        <v>3</v>
      </c>
      <c r="I12" s="12">
        <v>65.75</v>
      </c>
      <c r="J12" s="12">
        <v>15</v>
      </c>
      <c r="K12" s="12"/>
      <c r="L12" s="66">
        <v>19</v>
      </c>
      <c r="M12" s="12">
        <v>12</v>
      </c>
      <c r="N12" s="30">
        <v>204.76923076923077</v>
      </c>
      <c r="O12" s="12">
        <v>40</v>
      </c>
      <c r="P12" s="32">
        <v>9</v>
      </c>
      <c r="Q12" s="12">
        <v>20</v>
      </c>
      <c r="R12" s="13">
        <v>0</v>
      </c>
      <c r="S12" s="12">
        <v>0</v>
      </c>
      <c r="T12" s="12">
        <v>152.75</v>
      </c>
      <c r="U12" s="12">
        <v>511407.00000000023</v>
      </c>
    </row>
    <row r="13" spans="2:22" ht="15" customHeight="1">
      <c r="B13" s="11" t="s">
        <v>134</v>
      </c>
      <c r="C13" s="11" t="s">
        <v>132</v>
      </c>
      <c r="D13" s="34" t="s">
        <v>110</v>
      </c>
      <c r="E13" s="35">
        <v>13</v>
      </c>
      <c r="F13" s="31">
        <v>5</v>
      </c>
      <c r="G13" s="31">
        <v>8</v>
      </c>
      <c r="H13" s="31">
        <v>0</v>
      </c>
      <c r="I13" s="12">
        <v>53.75</v>
      </c>
      <c r="J13" s="12">
        <v>15</v>
      </c>
      <c r="K13" s="12"/>
      <c r="L13" s="66">
        <v>16</v>
      </c>
      <c r="M13" s="12"/>
      <c r="N13" s="30">
        <v>183.76923076923077</v>
      </c>
      <c r="O13" s="12"/>
      <c r="P13" s="32">
        <v>8</v>
      </c>
      <c r="Q13" s="12">
        <v>15</v>
      </c>
      <c r="R13" s="13">
        <v>0</v>
      </c>
      <c r="S13" s="12">
        <v>0</v>
      </c>
      <c r="T13" s="12">
        <v>83.75</v>
      </c>
      <c r="U13" s="12">
        <v>280395.00000000012</v>
      </c>
    </row>
    <row r="14" spans="2:22" ht="15" customHeight="1">
      <c r="B14" s="11" t="s">
        <v>43</v>
      </c>
      <c r="C14" s="11" t="s">
        <v>42</v>
      </c>
      <c r="D14" s="34" t="s">
        <v>110</v>
      </c>
      <c r="E14" s="35">
        <v>12</v>
      </c>
      <c r="F14" s="31">
        <v>3</v>
      </c>
      <c r="G14" s="31">
        <v>8</v>
      </c>
      <c r="H14" s="31">
        <v>1</v>
      </c>
      <c r="I14" s="12">
        <v>54.25</v>
      </c>
      <c r="J14" s="12">
        <v>15</v>
      </c>
      <c r="K14" s="12"/>
      <c r="L14" s="66">
        <v>11</v>
      </c>
      <c r="M14" s="12"/>
      <c r="N14" s="30">
        <v>195.58333333333334</v>
      </c>
      <c r="O14" s="12"/>
      <c r="P14" s="32">
        <v>6</v>
      </c>
      <c r="Q14" s="12">
        <v>4</v>
      </c>
      <c r="R14" s="13">
        <v>0</v>
      </c>
      <c r="S14" s="12">
        <v>0</v>
      </c>
      <c r="T14" s="12">
        <v>73.25</v>
      </c>
      <c r="U14" s="12">
        <v>245241.00000000009</v>
      </c>
    </row>
    <row r="15" spans="2:22" ht="15" customHeight="1">
      <c r="B15" s="11" t="s">
        <v>60</v>
      </c>
      <c r="C15" s="11" t="s">
        <v>59</v>
      </c>
      <c r="D15" s="34" t="s">
        <v>110</v>
      </c>
      <c r="E15" s="35">
        <v>11</v>
      </c>
      <c r="F15" s="31">
        <v>1</v>
      </c>
      <c r="G15" s="31">
        <v>10</v>
      </c>
      <c r="H15" s="31">
        <v>0</v>
      </c>
      <c r="I15" s="12">
        <v>52.75</v>
      </c>
      <c r="J15" s="12">
        <v>8</v>
      </c>
      <c r="K15" s="12"/>
      <c r="L15" s="66" t="s">
        <v>1</v>
      </c>
      <c r="M15" s="12"/>
      <c r="N15" s="30" t="s">
        <v>1</v>
      </c>
      <c r="O15" s="12"/>
      <c r="P15" s="32" t="s">
        <v>1</v>
      </c>
      <c r="Q15" s="12"/>
      <c r="R15" s="13">
        <v>0</v>
      </c>
      <c r="S15" s="12">
        <v>0</v>
      </c>
      <c r="T15" s="12">
        <v>60.75</v>
      </c>
      <c r="U15" s="12">
        <v>203391.00000000009</v>
      </c>
    </row>
    <row r="16" spans="2:22" ht="15" customHeight="1">
      <c r="B16" s="11" t="s">
        <v>127</v>
      </c>
      <c r="C16" s="11" t="s">
        <v>126</v>
      </c>
      <c r="D16" s="34" t="s">
        <v>110</v>
      </c>
      <c r="E16" s="35">
        <v>10</v>
      </c>
      <c r="F16" s="31">
        <v>5</v>
      </c>
      <c r="G16" s="31">
        <v>4</v>
      </c>
      <c r="H16" s="31">
        <v>1</v>
      </c>
      <c r="I16" s="12">
        <v>20</v>
      </c>
      <c r="J16" s="12">
        <v>5</v>
      </c>
      <c r="K16" s="12"/>
      <c r="L16" s="66" t="s">
        <v>1</v>
      </c>
      <c r="M16" s="12"/>
      <c r="N16" s="30" t="s">
        <v>1</v>
      </c>
      <c r="O16" s="12"/>
      <c r="P16" s="32" t="s">
        <v>1</v>
      </c>
      <c r="Q16" s="12"/>
      <c r="R16" s="13">
        <v>0</v>
      </c>
      <c r="S16" s="12">
        <v>0</v>
      </c>
      <c r="T16" s="12">
        <v>25</v>
      </c>
      <c r="U16" s="12">
        <v>83700.000000000029</v>
      </c>
      <c r="V16"/>
    </row>
    <row r="17" spans="2:22" ht="15" customHeight="1">
      <c r="B17" s="11" t="s">
        <v>141</v>
      </c>
      <c r="C17" s="11" t="s">
        <v>137</v>
      </c>
      <c r="D17" s="34" t="s">
        <v>110</v>
      </c>
      <c r="E17" s="35">
        <v>10</v>
      </c>
      <c r="F17" s="31">
        <v>6</v>
      </c>
      <c r="G17" s="31">
        <v>4</v>
      </c>
      <c r="H17" s="31">
        <v>0</v>
      </c>
      <c r="I17" s="12">
        <v>20</v>
      </c>
      <c r="J17" s="12">
        <v>5</v>
      </c>
      <c r="K17" s="12"/>
      <c r="L17" s="66" t="s">
        <v>1</v>
      </c>
      <c r="M17" s="12"/>
      <c r="N17" s="30" t="s">
        <v>1</v>
      </c>
      <c r="O17" s="12"/>
      <c r="P17" s="32" t="s">
        <v>1</v>
      </c>
      <c r="Q17" s="12"/>
      <c r="R17" s="13">
        <v>0</v>
      </c>
      <c r="S17" s="12">
        <v>0</v>
      </c>
      <c r="T17" s="12">
        <v>25</v>
      </c>
      <c r="U17" s="12">
        <v>83700.000000000029</v>
      </c>
      <c r="V17"/>
    </row>
    <row r="18" spans="2:22" ht="15" customHeight="1">
      <c r="B18" s="11" t="s">
        <v>135</v>
      </c>
      <c r="C18" s="11" t="s">
        <v>133</v>
      </c>
      <c r="D18" s="34" t="s">
        <v>110</v>
      </c>
      <c r="E18" s="35">
        <v>9</v>
      </c>
      <c r="F18" s="31">
        <v>4</v>
      </c>
      <c r="G18" s="31">
        <v>5</v>
      </c>
      <c r="H18" s="31">
        <v>0</v>
      </c>
      <c r="I18" s="12">
        <v>18</v>
      </c>
      <c r="J18" s="12">
        <v>4</v>
      </c>
      <c r="K18" s="12"/>
      <c r="L18" s="66" t="s">
        <v>1</v>
      </c>
      <c r="M18" s="12"/>
      <c r="N18" s="30" t="s">
        <v>1</v>
      </c>
      <c r="O18" s="12"/>
      <c r="P18" s="32" t="s">
        <v>1</v>
      </c>
      <c r="Q18" s="12"/>
      <c r="R18" s="13">
        <v>0</v>
      </c>
      <c r="S18" s="12">
        <v>0</v>
      </c>
      <c r="T18" s="12">
        <v>22</v>
      </c>
      <c r="U18" s="12">
        <v>73656.000000000029</v>
      </c>
    </row>
    <row r="19" spans="2:22" ht="15" customHeight="1">
      <c r="B19" s="11" t="s">
        <v>157</v>
      </c>
      <c r="C19" s="11" t="s">
        <v>160</v>
      </c>
      <c r="D19" s="34" t="s">
        <v>110</v>
      </c>
      <c r="E19" s="35">
        <v>8</v>
      </c>
      <c r="F19" s="31">
        <v>0</v>
      </c>
      <c r="G19" s="31">
        <v>0</v>
      </c>
      <c r="H19" s="31">
        <v>0</v>
      </c>
      <c r="I19" s="12">
        <v>16</v>
      </c>
      <c r="J19" s="12">
        <v>0</v>
      </c>
      <c r="K19" s="12"/>
      <c r="L19" s="66" t="s">
        <v>1</v>
      </c>
      <c r="M19" s="12"/>
      <c r="N19" s="30" t="s">
        <v>1</v>
      </c>
      <c r="O19" s="12"/>
      <c r="P19" s="32" t="s">
        <v>1</v>
      </c>
      <c r="Q19" s="12"/>
      <c r="R19" s="13">
        <v>0</v>
      </c>
      <c r="S19" s="12">
        <v>0</v>
      </c>
      <c r="T19" s="12">
        <v>16</v>
      </c>
      <c r="U19" s="12">
        <v>53568.000000000022</v>
      </c>
    </row>
    <row r="20" spans="2:22" ht="15" customHeight="1">
      <c r="B20" s="11" t="s">
        <v>140</v>
      </c>
      <c r="C20" s="11" t="s">
        <v>138</v>
      </c>
      <c r="D20" s="34" t="s">
        <v>110</v>
      </c>
      <c r="E20" s="35">
        <v>8</v>
      </c>
      <c r="F20" s="31">
        <v>0</v>
      </c>
      <c r="G20" s="31">
        <v>0</v>
      </c>
      <c r="H20" s="31">
        <v>0</v>
      </c>
      <c r="I20" s="12">
        <v>16</v>
      </c>
      <c r="J20" s="12">
        <v>0</v>
      </c>
      <c r="K20" s="12"/>
      <c r="L20" s="66" t="s">
        <v>1</v>
      </c>
      <c r="M20" s="12"/>
      <c r="N20" s="30" t="s">
        <v>1</v>
      </c>
      <c r="O20" s="12"/>
      <c r="P20" s="32" t="s">
        <v>1</v>
      </c>
      <c r="Q20" s="12"/>
      <c r="R20" s="13">
        <v>0</v>
      </c>
      <c r="S20" s="12">
        <v>0</v>
      </c>
      <c r="T20" s="12">
        <v>16</v>
      </c>
      <c r="U20" s="12">
        <v>53568.000000000022</v>
      </c>
    </row>
    <row r="21" spans="2:22" ht="15" customHeight="1">
      <c r="B21" s="11" t="s">
        <v>158</v>
      </c>
      <c r="C21" s="11" t="s">
        <v>161</v>
      </c>
      <c r="D21" s="34" t="s">
        <v>110</v>
      </c>
      <c r="E21" s="35">
        <v>8</v>
      </c>
      <c r="F21" s="31">
        <v>0</v>
      </c>
      <c r="G21" s="31">
        <v>0</v>
      </c>
      <c r="H21" s="31">
        <v>0</v>
      </c>
      <c r="I21" s="12">
        <v>16</v>
      </c>
      <c r="J21" s="12">
        <v>0</v>
      </c>
      <c r="K21" s="12"/>
      <c r="L21" s="66" t="s">
        <v>1</v>
      </c>
      <c r="M21" s="12"/>
      <c r="N21" s="30" t="s">
        <v>1</v>
      </c>
      <c r="O21" s="12"/>
      <c r="P21" s="32" t="s">
        <v>1</v>
      </c>
      <c r="Q21" s="12"/>
      <c r="R21" s="13">
        <v>0</v>
      </c>
      <c r="S21" s="12">
        <v>0</v>
      </c>
      <c r="T21" s="12">
        <v>16</v>
      </c>
      <c r="U21" s="12">
        <v>53568.000000000022</v>
      </c>
    </row>
    <row r="22" spans="2:22" ht="15" customHeight="1">
      <c r="B22" s="11" t="s">
        <v>119</v>
      </c>
      <c r="C22" s="11" t="s">
        <v>116</v>
      </c>
      <c r="D22" s="34" t="s">
        <v>110</v>
      </c>
      <c r="E22" s="35">
        <v>8</v>
      </c>
      <c r="F22" s="31">
        <v>0</v>
      </c>
      <c r="G22" s="31">
        <v>0</v>
      </c>
      <c r="H22" s="31">
        <v>0</v>
      </c>
      <c r="I22" s="12">
        <v>16</v>
      </c>
      <c r="J22" s="12">
        <v>0</v>
      </c>
      <c r="K22" s="12"/>
      <c r="L22" s="66" t="s">
        <v>1</v>
      </c>
      <c r="M22" s="12"/>
      <c r="N22" s="30" t="s">
        <v>1</v>
      </c>
      <c r="O22" s="12"/>
      <c r="P22" s="32" t="s">
        <v>1</v>
      </c>
      <c r="Q22" s="12"/>
      <c r="R22" s="13">
        <v>0</v>
      </c>
      <c r="S22" s="12">
        <v>0</v>
      </c>
      <c r="T22" s="12">
        <v>16</v>
      </c>
      <c r="U22" s="12">
        <v>53568.000000000022</v>
      </c>
    </row>
    <row r="23" spans="2:22" ht="15" customHeight="1">
      <c r="B23" s="11" t="s">
        <v>109</v>
      </c>
      <c r="C23" s="11" t="s">
        <v>108</v>
      </c>
      <c r="D23" s="34" t="s">
        <v>110</v>
      </c>
      <c r="E23" s="35">
        <v>8</v>
      </c>
      <c r="F23" s="31">
        <v>0</v>
      </c>
      <c r="G23" s="31">
        <v>0</v>
      </c>
      <c r="H23" s="31">
        <v>0</v>
      </c>
      <c r="I23" s="12">
        <v>16</v>
      </c>
      <c r="J23" s="12">
        <v>0</v>
      </c>
      <c r="K23" s="12"/>
      <c r="L23" s="66" t="s">
        <v>1</v>
      </c>
      <c r="M23" s="12"/>
      <c r="N23" s="30" t="s">
        <v>1</v>
      </c>
      <c r="O23" s="12"/>
      <c r="P23" s="32" t="s">
        <v>1</v>
      </c>
      <c r="Q23" s="12"/>
      <c r="R23" s="13">
        <v>0</v>
      </c>
      <c r="S23" s="12">
        <v>0</v>
      </c>
      <c r="T23" s="12">
        <v>16</v>
      </c>
      <c r="U23" s="12">
        <v>53568.000000000022</v>
      </c>
    </row>
    <row r="24" spans="2:22" ht="15" customHeight="1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3">
        <v>3056724.0000000009</v>
      </c>
    </row>
    <row r="25" spans="2:22" ht="15" customHeight="1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4"/>
    </row>
    <row r="26" spans="2:22" ht="15" customHeight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175</v>
      </c>
    </row>
    <row r="27" spans="2:22" ht="15" customHeight="1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47"/>
      <c r="U27" s="2"/>
    </row>
    <row r="28" spans="2:22" ht="15" customHeight="1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47"/>
      <c r="U28" s="2"/>
    </row>
    <row r="29" spans="2:22" ht="15" customHeight="1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2" ht="15" customHeight="1"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2" ht="15" customHeight="1"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2" ht="15" customHeight="1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</sheetData>
  <mergeCells count="3">
    <mergeCell ref="B5:D6"/>
    <mergeCell ref="U5:U6"/>
    <mergeCell ref="U24:U25"/>
  </mergeCells>
  <conditionalFormatting sqref="E9:E23">
    <cfRule type="cellIs" dxfId="35" priority="1" operator="lessThanOrEqual">
      <formula>7</formula>
    </cfRule>
    <cfRule type="cellIs" dxfId="34" priority="2" operator="greaterThanOrEqual">
      <formula>11</formula>
    </cfRule>
    <cfRule type="cellIs" dxfId="33" priority="3" operator="greaterThanOrEqual">
      <formula>8</formula>
    </cfRule>
  </conditionalFormatting>
  <conditionalFormatting sqref="K9:K23 M9:M23">
    <cfRule type="expression" dxfId="32" priority="5">
      <formula>$E9&gt;=11</formula>
    </cfRule>
  </conditionalFormatting>
  <conditionalFormatting sqref="L9:L23">
    <cfRule type="top10" dxfId="30" priority="43848" rank="3"/>
  </conditionalFormatting>
  <conditionalFormatting sqref="N9:N23">
    <cfRule type="cellIs" dxfId="29" priority="153" operator="greaterThanOrEqual">
      <formula>199</formula>
    </cfRule>
  </conditionalFormatting>
  <conditionalFormatting sqref="O9:O23 Q9:Q23">
    <cfRule type="expression" dxfId="28" priority="20">
      <formula>$E9&gt;=12</formula>
    </cfRule>
  </conditionalFormatting>
  <conditionalFormatting sqref="P9:P23">
    <cfRule type="cellIs" dxfId="27" priority="34879" operator="greaterThanOrEqual">
      <formula>6</formula>
    </cfRule>
  </conditionalFormatting>
  <conditionalFormatting sqref="R9:R23">
    <cfRule type="iconSet" priority="4385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U9:U23">
    <cfRule type="dataBar" priority="43852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{07FB95AA-99BC-49E0-AA6C-E0EEAEDDE544}</x14:id>
        </ext>
      </extLst>
    </cfRule>
  </conditionalFormatting>
  <dataValidations disablePrompts="1" count="3">
    <dataValidation type="list" allowBlank="1" showInputMessage="1" showErrorMessage="1" sqref="K9:K23 M9:M23" xr:uid="{FB7BA75A-D700-425E-8A2A-F8EF1F28F4EF}">
      <formula1>"25,12,8"</formula1>
    </dataValidation>
    <dataValidation type="list" allowBlank="1" showInputMessage="1" showErrorMessage="1" sqref="Q9:Q23" xr:uid="{1AFA4407-2A9C-4C2B-A650-DB2747431028}">
      <formula1>"25,20,15,10,8"</formula1>
    </dataValidation>
    <dataValidation type="list" allowBlank="1" showInputMessage="1" showErrorMessage="1" sqref="O9:O23" xr:uid="{AA92DB9D-E1F5-42FB-91C4-7E88DD8EA92A}">
      <formula1>"40,20,15,10,8"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2" operator="containsText" id="{B2965094-57F3-4AEF-9D02-B7FC774AC4DF}">
            <xm:f>NOT(ISERROR(SEARCH("-",L9)))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L9:L23 N9:N23 P9:P23</xm:sqref>
        </x14:conditionalFormatting>
        <x14:conditionalFormatting xmlns:xm="http://schemas.microsoft.com/office/excel/2006/main">
          <x14:cfRule type="dataBar" id="{07FB95AA-99BC-49E0-AA6C-E0EEAEDDE5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U9:U23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6556-47FE-4B76-B012-ED44AEC7E683}">
  <sheetPr>
    <tabColor theme="4" tint="-0.499984740745262"/>
  </sheetPr>
  <dimension ref="A1:V19"/>
  <sheetViews>
    <sheetView showGridLines="0" showRowColHeaders="0" zoomScale="70" zoomScaleNormal="70" workbookViewId="0">
      <pane xSplit="4" ySplit="8" topLeftCell="E9" activePane="bottomRight" state="frozen"/>
      <selection activeCell="B2" sqref="B2:F2"/>
      <selection pane="topRight" activeCell="B2" sqref="B2:F2"/>
      <selection pane="bottomLeft" activeCell="B2" sqref="B2:F2"/>
      <selection pane="bottomRight" activeCell="B5" sqref="B5:D6"/>
    </sheetView>
  </sheetViews>
  <sheetFormatPr baseColWidth="10" defaultColWidth="11.42578125" defaultRowHeight="15" customHeight="1"/>
  <cols>
    <col min="1" max="1" width="3.28515625" style="4" customWidth="1"/>
    <col min="2" max="2" width="47.140625" style="3" customWidth="1"/>
    <col min="3" max="3" width="19.140625" style="3" bestFit="1" customWidth="1"/>
    <col min="4" max="4" width="27.28515625" style="3" customWidth="1"/>
    <col min="5" max="5" width="23.7109375" style="3" customWidth="1"/>
    <col min="6" max="20" width="11.85546875" style="3" customWidth="1"/>
    <col min="21" max="21" width="16.42578125" style="3" customWidth="1"/>
    <col min="22" max="22" width="3.28515625" style="3" customWidth="1"/>
    <col min="23" max="16384" width="11.42578125" style="3"/>
  </cols>
  <sheetData>
    <row r="1" spans="2:22" ht="15" customHeight="1">
      <c r="E1" s="37"/>
    </row>
    <row r="2" spans="2:22" ht="15" customHeight="1">
      <c r="E2" s="37"/>
      <c r="U2" s="43" t="s">
        <v>30</v>
      </c>
    </row>
    <row r="3" spans="2:22" ht="15" customHeight="1">
      <c r="E3" s="37"/>
      <c r="S3" s="39"/>
      <c r="T3" s="45"/>
      <c r="U3" s="44">
        <v>0</v>
      </c>
    </row>
    <row r="5" spans="2:22" ht="15" customHeight="1">
      <c r="B5" s="91" t="s">
        <v>166</v>
      </c>
      <c r="C5" s="91"/>
      <c r="D5" s="91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92">
        <v>3348.0000000000014</v>
      </c>
    </row>
    <row r="6" spans="2:22" ht="15" customHeight="1">
      <c r="B6" s="91"/>
      <c r="C6" s="91"/>
      <c r="D6" s="91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92"/>
    </row>
    <row r="7" spans="2:22" ht="15" customHeight="1">
      <c r="B7" s="1"/>
      <c r="C7" s="1"/>
      <c r="D7" s="1"/>
      <c r="E7" s="1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45" customHeight="1">
      <c r="B8" s="7" t="s">
        <v>2</v>
      </c>
      <c r="C8" s="7" t="s">
        <v>8</v>
      </c>
      <c r="D8" s="7" t="s">
        <v>4</v>
      </c>
      <c r="E8" s="36" t="s">
        <v>19</v>
      </c>
      <c r="F8" s="8" t="s">
        <v>39</v>
      </c>
      <c r="G8" s="8" t="s">
        <v>36</v>
      </c>
      <c r="H8" s="8" t="s">
        <v>38</v>
      </c>
      <c r="I8" s="49" t="s">
        <v>17</v>
      </c>
      <c r="J8" s="29" t="s">
        <v>15</v>
      </c>
      <c r="K8" s="9" t="s">
        <v>16</v>
      </c>
      <c r="L8" s="8" t="s">
        <v>21</v>
      </c>
      <c r="M8" s="9" t="s">
        <v>23</v>
      </c>
      <c r="N8" s="8" t="s">
        <v>3</v>
      </c>
      <c r="O8" s="9" t="s">
        <v>14</v>
      </c>
      <c r="P8" s="8" t="s">
        <v>18</v>
      </c>
      <c r="Q8" s="29" t="s">
        <v>13</v>
      </c>
      <c r="R8" s="10" t="s">
        <v>12</v>
      </c>
      <c r="S8" s="8" t="s">
        <v>11</v>
      </c>
      <c r="T8" s="8" t="s">
        <v>9</v>
      </c>
      <c r="U8" s="8" t="s">
        <v>10</v>
      </c>
    </row>
    <row r="9" spans="2:22" ht="15" customHeight="1">
      <c r="B9" s="11" t="s">
        <v>159</v>
      </c>
      <c r="C9" s="11" t="s">
        <v>162</v>
      </c>
      <c r="D9" s="34" t="s">
        <v>111</v>
      </c>
      <c r="E9" s="35">
        <v>8</v>
      </c>
      <c r="F9" s="31">
        <v>0</v>
      </c>
      <c r="G9" s="31">
        <v>0</v>
      </c>
      <c r="H9" s="31">
        <v>0</v>
      </c>
      <c r="I9" s="12">
        <v>16</v>
      </c>
      <c r="J9" s="12">
        <v>0</v>
      </c>
      <c r="K9" s="12"/>
      <c r="L9" s="66" t="s">
        <v>1</v>
      </c>
      <c r="M9" s="12"/>
      <c r="N9" s="30" t="s">
        <v>1</v>
      </c>
      <c r="O9" s="12"/>
      <c r="P9" s="32" t="s">
        <v>1</v>
      </c>
      <c r="Q9" s="12"/>
      <c r="R9" s="13">
        <v>0</v>
      </c>
      <c r="S9" s="12">
        <v>0</v>
      </c>
      <c r="T9" s="12">
        <v>16</v>
      </c>
      <c r="U9" s="12">
        <v>53568.000000000022</v>
      </c>
    </row>
    <row r="10" spans="2:22" ht="15" customHeight="1">
      <c r="B10" s="11"/>
      <c r="C10" s="11"/>
      <c r="D10" s="34" t="s">
        <v>111</v>
      </c>
      <c r="E10" s="35"/>
      <c r="F10" s="31">
        <v>0</v>
      </c>
      <c r="G10" s="31">
        <v>0</v>
      </c>
      <c r="H10" s="31">
        <v>0</v>
      </c>
      <c r="I10" s="12">
        <v>0</v>
      </c>
      <c r="J10" s="12">
        <v>0</v>
      </c>
      <c r="K10" s="12"/>
      <c r="L10" s="66" t="s">
        <v>1</v>
      </c>
      <c r="M10" s="12"/>
      <c r="N10" s="30" t="s">
        <v>1</v>
      </c>
      <c r="O10" s="12"/>
      <c r="P10" s="32" t="s">
        <v>1</v>
      </c>
      <c r="Q10" s="12"/>
      <c r="R10" s="13">
        <v>0</v>
      </c>
      <c r="S10" s="12">
        <v>0</v>
      </c>
      <c r="T10" s="12">
        <v>0</v>
      </c>
      <c r="U10" s="12">
        <v>0</v>
      </c>
      <c r="V10"/>
    </row>
    <row r="11" spans="2:22" ht="15" customHeight="1"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93">
        <v>53568.000000000022</v>
      </c>
    </row>
    <row r="12" spans="2:22" ht="15" customHeight="1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4"/>
    </row>
    <row r="13" spans="2:22" ht="15" customHeight="1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175</v>
      </c>
    </row>
    <row r="14" spans="2:22" ht="15" customHeight="1"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47"/>
      <c r="U14" s="2"/>
    </row>
    <row r="15" spans="2:22" ht="15" customHeight="1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47"/>
      <c r="U15" s="2"/>
    </row>
    <row r="16" spans="2:22" ht="15" customHeight="1"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/>
    </row>
    <row r="17" spans="6:22" ht="15" customHeight="1"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/>
    </row>
    <row r="18" spans="6:22" ht="15" customHeight="1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6:22" ht="15" customHeight="1"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</sheetData>
  <mergeCells count="3">
    <mergeCell ref="B5:D6"/>
    <mergeCell ref="U5:U6"/>
    <mergeCell ref="U11:U12"/>
  </mergeCells>
  <conditionalFormatting sqref="E9:E10">
    <cfRule type="cellIs" dxfId="26" priority="1" operator="lessThanOrEqual">
      <formula>7</formula>
    </cfRule>
    <cfRule type="cellIs" dxfId="25" priority="2" operator="greaterThanOrEqual">
      <formula>11</formula>
    </cfRule>
    <cfRule type="cellIs" dxfId="24" priority="3" operator="greaterThanOrEqual">
      <formula>8</formula>
    </cfRule>
  </conditionalFormatting>
  <conditionalFormatting sqref="K9:K10 M9:M10">
    <cfRule type="expression" dxfId="23" priority="4">
      <formula>$E9&gt;=11</formula>
    </cfRule>
  </conditionalFormatting>
  <conditionalFormatting sqref="L9:L10">
    <cfRule type="top10" dxfId="21" priority="42975" rank="3"/>
  </conditionalFormatting>
  <conditionalFormatting sqref="N9:N10">
    <cfRule type="cellIs" dxfId="20" priority="7" operator="greaterThanOrEqual">
      <formula>199</formula>
    </cfRule>
  </conditionalFormatting>
  <conditionalFormatting sqref="O9:O10 Q9:Q10">
    <cfRule type="expression" dxfId="19" priority="5">
      <formula>$E9&gt;=12</formula>
    </cfRule>
  </conditionalFormatting>
  <conditionalFormatting sqref="P9:P10">
    <cfRule type="cellIs" dxfId="18" priority="8" operator="greaterThanOrEqual">
      <formula>6</formula>
    </cfRule>
  </conditionalFormatting>
  <conditionalFormatting sqref="R9:R10">
    <cfRule type="iconSet" priority="4298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U9:U10">
    <cfRule type="dataBar" priority="42987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{9CBC0703-C73D-42F7-ADBF-2CF742881680}</x14:id>
        </ext>
      </extLst>
    </cfRule>
  </conditionalFormatting>
  <dataValidations disablePrompts="1" count="3">
    <dataValidation type="list" allowBlank="1" showInputMessage="1" showErrorMessage="1" sqref="O9:O10" xr:uid="{1BF213BE-3232-4668-BAED-5DA0EA290E52}">
      <formula1>"40,20,15,10,8"</formula1>
    </dataValidation>
    <dataValidation type="list" allowBlank="1" showInputMessage="1" showErrorMessage="1" sqref="Q9:Q10" xr:uid="{54AFE875-86BD-4DDC-B0F6-DE2BBA637460}">
      <formula1>"25,20,15,10,8"</formula1>
    </dataValidation>
    <dataValidation type="list" allowBlank="1" showInputMessage="1" showErrorMessage="1" sqref="K9:K10 M9:M10" xr:uid="{50B55533-1ACC-4BE9-ABD2-3912CA6A2FD2}">
      <formula1>"25,12,8"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210D65B8-1764-4788-9A7D-162751657519}">
            <xm:f>NOT(ISERROR(SEARCH("-",L9)))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L9:L10 N9:N10 P9:P10</xm:sqref>
        </x14:conditionalFormatting>
        <x14:conditionalFormatting xmlns:xm="http://schemas.microsoft.com/office/excel/2006/main">
          <x14:cfRule type="dataBar" id="{9CBC0703-C73D-42F7-ADBF-2CF742881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U9:U10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F0F5-F43B-4A1C-9DC9-5D0757C7F51D}">
  <sheetPr>
    <tabColor theme="4" tint="-0.249977111117893"/>
  </sheetPr>
  <dimension ref="A1:U23"/>
  <sheetViews>
    <sheetView showGridLines="0" showRowColHeaders="0" zoomScale="70" zoomScaleNormal="70" workbookViewId="0">
      <pane xSplit="4" ySplit="8" topLeftCell="E9" activePane="bottomRight" state="frozen"/>
      <selection activeCell="B2" sqref="B2:F2"/>
      <selection pane="topRight" activeCell="B2" sqref="B2:F2"/>
      <selection pane="bottomLeft" activeCell="B2" sqref="B2:F2"/>
      <selection pane="bottomRight" activeCell="B5" sqref="B5:D6"/>
    </sheetView>
  </sheetViews>
  <sheetFormatPr baseColWidth="10" defaultColWidth="11.42578125" defaultRowHeight="15" customHeight="1"/>
  <cols>
    <col min="1" max="1" width="3.28515625" style="80" customWidth="1"/>
    <col min="2" max="2" width="47.140625" style="38" customWidth="1"/>
    <col min="3" max="3" width="19.140625" style="38" bestFit="1" customWidth="1"/>
    <col min="4" max="4" width="27.28515625" style="38" customWidth="1"/>
    <col min="5" max="5" width="17.7109375" style="38" customWidth="1"/>
    <col min="6" max="6" width="16.140625" style="38" customWidth="1"/>
    <col min="7" max="19" width="11.85546875" style="38" customWidth="1"/>
    <col min="20" max="20" width="13.5703125" style="38" bestFit="1" customWidth="1"/>
    <col min="21" max="21" width="16.42578125" style="72" customWidth="1"/>
    <col min="22" max="22" width="3.28515625" style="38" customWidth="1"/>
    <col min="23" max="16384" width="11.42578125" style="38"/>
  </cols>
  <sheetData>
    <row r="1" spans="2:21" ht="15" customHeight="1">
      <c r="U1" s="38"/>
    </row>
    <row r="2" spans="2:21" ht="15" customHeight="1">
      <c r="U2" s="43" t="s">
        <v>30</v>
      </c>
    </row>
    <row r="3" spans="2:21" ht="15" customHeight="1">
      <c r="B3" s="41"/>
      <c r="U3" s="83">
        <v>0</v>
      </c>
    </row>
    <row r="4" spans="2:21" ht="15" customHeight="1">
      <c r="U4" s="38"/>
    </row>
    <row r="5" spans="2:21" ht="15" customHeight="1">
      <c r="B5" s="95" t="s">
        <v>169</v>
      </c>
      <c r="C5" s="96"/>
      <c r="D5" s="96"/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93">
        <v>3348.0000000000014</v>
      </c>
    </row>
    <row r="6" spans="2:21" ht="15" customHeight="1">
      <c r="B6" s="97"/>
      <c r="C6" s="98"/>
      <c r="D6" s="98"/>
      <c r="E6" s="70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94"/>
    </row>
    <row r="8" spans="2:21" ht="45" customHeight="1">
      <c r="B8" s="7" t="s">
        <v>2</v>
      </c>
      <c r="C8" s="7" t="s">
        <v>8</v>
      </c>
      <c r="D8" s="7" t="s">
        <v>4</v>
      </c>
      <c r="E8" s="7" t="s">
        <v>19</v>
      </c>
      <c r="F8" s="7" t="s">
        <v>61</v>
      </c>
      <c r="G8" s="8" t="s">
        <v>62</v>
      </c>
      <c r="H8" s="8" t="s">
        <v>63</v>
      </c>
      <c r="I8" s="8" t="s">
        <v>93</v>
      </c>
      <c r="J8" s="8" t="s">
        <v>92</v>
      </c>
      <c r="K8" s="9" t="s">
        <v>91</v>
      </c>
      <c r="L8" s="82" t="s">
        <v>90</v>
      </c>
      <c r="M8" s="8" t="s">
        <v>94</v>
      </c>
      <c r="N8" s="8" t="s">
        <v>95</v>
      </c>
      <c r="O8" s="81" t="s">
        <v>89</v>
      </c>
      <c r="P8" s="73" t="s">
        <v>3</v>
      </c>
      <c r="Q8" s="81" t="s">
        <v>96</v>
      </c>
      <c r="R8" s="74" t="s">
        <v>97</v>
      </c>
      <c r="S8" s="8" t="s">
        <v>98</v>
      </c>
      <c r="T8" s="49" t="s">
        <v>64</v>
      </c>
      <c r="U8" s="75" t="s">
        <v>65</v>
      </c>
    </row>
    <row r="9" spans="2:21" ht="15" customHeight="1">
      <c r="B9" s="11" t="s">
        <v>80</v>
      </c>
      <c r="C9" s="11" t="s">
        <v>81</v>
      </c>
      <c r="D9" s="34" t="s">
        <v>68</v>
      </c>
      <c r="E9" s="35">
        <v>23</v>
      </c>
      <c r="F9" s="76">
        <v>3268</v>
      </c>
      <c r="G9" s="77">
        <v>2868</v>
      </c>
      <c r="H9" s="77">
        <v>400</v>
      </c>
      <c r="I9" s="12">
        <v>134.72</v>
      </c>
      <c r="J9" s="12">
        <v>120000</v>
      </c>
      <c r="K9" s="35">
        <v>22</v>
      </c>
      <c r="L9" s="12">
        <v>50000</v>
      </c>
      <c r="M9" s="78">
        <v>11</v>
      </c>
      <c r="N9" s="12">
        <v>82500</v>
      </c>
      <c r="O9" s="12">
        <v>50000</v>
      </c>
      <c r="P9" s="79">
        <v>142.08695652173913</v>
      </c>
      <c r="Q9" s="12">
        <v>25000</v>
      </c>
      <c r="R9" s="13">
        <v>0</v>
      </c>
      <c r="S9" s="21">
        <v>0</v>
      </c>
      <c r="T9" s="12">
        <v>778542.56000000017</v>
      </c>
      <c r="U9" s="12">
        <v>778542.56000000017</v>
      </c>
    </row>
    <row r="10" spans="2:21" ht="15" customHeight="1">
      <c r="B10" s="11" t="s">
        <v>66</v>
      </c>
      <c r="C10" s="11" t="s">
        <v>67</v>
      </c>
      <c r="D10" s="34" t="s">
        <v>68</v>
      </c>
      <c r="E10" s="35">
        <v>15</v>
      </c>
      <c r="F10" s="76">
        <v>2307.9</v>
      </c>
      <c r="G10" s="77">
        <v>1399.9</v>
      </c>
      <c r="H10" s="77">
        <v>908</v>
      </c>
      <c r="I10" s="12">
        <v>101.39600000000002</v>
      </c>
      <c r="J10" s="12">
        <v>75000</v>
      </c>
      <c r="K10" s="35">
        <v>11</v>
      </c>
      <c r="L10" s="12"/>
      <c r="M10" s="78">
        <v>4</v>
      </c>
      <c r="N10" s="12">
        <v>22000</v>
      </c>
      <c r="O10" s="12">
        <v>40000</v>
      </c>
      <c r="P10" s="79">
        <v>162.14285714285714</v>
      </c>
      <c r="Q10" s="12">
        <v>50000</v>
      </c>
      <c r="R10" s="13">
        <v>0</v>
      </c>
      <c r="S10" s="21">
        <v>0</v>
      </c>
      <c r="T10" s="12">
        <v>526473.80800000019</v>
      </c>
      <c r="U10" s="12">
        <v>526473.80800000019</v>
      </c>
    </row>
    <row r="11" spans="2:21" ht="15" customHeight="1">
      <c r="B11" s="11" t="s">
        <v>83</v>
      </c>
      <c r="C11" s="11" t="s">
        <v>84</v>
      </c>
      <c r="D11" s="34" t="s">
        <v>68</v>
      </c>
      <c r="E11" s="35">
        <v>15</v>
      </c>
      <c r="F11" s="76">
        <v>2204</v>
      </c>
      <c r="G11" s="77">
        <v>1486</v>
      </c>
      <c r="H11" s="77">
        <v>718</v>
      </c>
      <c r="I11" s="12">
        <v>95.34</v>
      </c>
      <c r="J11" s="12">
        <v>60000</v>
      </c>
      <c r="K11" s="35">
        <v>14</v>
      </c>
      <c r="L11" s="12"/>
      <c r="M11" s="78">
        <v>4</v>
      </c>
      <c r="N11" s="12">
        <v>22000</v>
      </c>
      <c r="O11" s="12">
        <v>25000</v>
      </c>
      <c r="P11" s="79">
        <v>146.93333333333334</v>
      </c>
      <c r="Q11" s="12">
        <v>35000</v>
      </c>
      <c r="R11" s="13">
        <v>0</v>
      </c>
      <c r="S11" s="21">
        <v>0</v>
      </c>
      <c r="T11" s="12">
        <v>461198.32000000012</v>
      </c>
      <c r="U11" s="12">
        <v>461198.32000000012</v>
      </c>
    </row>
    <row r="12" spans="2:21" ht="15" customHeight="1">
      <c r="B12" s="11" t="s">
        <v>120</v>
      </c>
      <c r="C12" s="11" t="s">
        <v>88</v>
      </c>
      <c r="D12" s="34" t="s">
        <v>68</v>
      </c>
      <c r="E12" s="35">
        <v>12</v>
      </c>
      <c r="F12" s="76">
        <v>1940</v>
      </c>
      <c r="G12" s="77">
        <v>704</v>
      </c>
      <c r="H12" s="77">
        <v>1236</v>
      </c>
      <c r="I12" s="12">
        <v>89.960000000000008</v>
      </c>
      <c r="J12" s="12">
        <v>47000</v>
      </c>
      <c r="K12" s="35">
        <v>13</v>
      </c>
      <c r="L12" s="12"/>
      <c r="M12" s="78">
        <v>7</v>
      </c>
      <c r="N12" s="12">
        <v>52500</v>
      </c>
      <c r="O12" s="12"/>
      <c r="P12" s="79">
        <v>161.66666666666666</v>
      </c>
      <c r="Q12" s="12">
        <v>40000</v>
      </c>
      <c r="R12" s="13">
        <v>0</v>
      </c>
      <c r="S12" s="21">
        <v>0</v>
      </c>
      <c r="T12" s="12">
        <v>440686.08000000013</v>
      </c>
      <c r="U12" s="12">
        <v>440686.08000000013</v>
      </c>
    </row>
    <row r="13" spans="2:21" ht="15" customHeight="1">
      <c r="B13" s="11" t="s">
        <v>85</v>
      </c>
      <c r="C13" s="11" t="s">
        <v>103</v>
      </c>
      <c r="D13" s="34" t="s">
        <v>68</v>
      </c>
      <c r="E13" s="35">
        <v>14</v>
      </c>
      <c r="F13" s="76">
        <v>1900</v>
      </c>
      <c r="G13" s="77">
        <v>1740</v>
      </c>
      <c r="H13" s="77">
        <v>160</v>
      </c>
      <c r="I13" s="12">
        <v>77.600000000000009</v>
      </c>
      <c r="J13" s="12">
        <v>47000</v>
      </c>
      <c r="K13" s="35">
        <v>17</v>
      </c>
      <c r="L13" s="12">
        <v>21666.666666666668</v>
      </c>
      <c r="M13" s="78">
        <v>9</v>
      </c>
      <c r="N13" s="12">
        <v>67500</v>
      </c>
      <c r="O13" s="12"/>
      <c r="P13" s="79">
        <v>135.71428571428572</v>
      </c>
      <c r="Q13" s="12"/>
      <c r="R13" s="13">
        <v>0</v>
      </c>
      <c r="S13" s="21">
        <v>0</v>
      </c>
      <c r="T13" s="12">
        <v>395971.46666666685</v>
      </c>
      <c r="U13" s="12">
        <v>395971.46666666685</v>
      </c>
    </row>
    <row r="14" spans="2:21" ht="15" customHeight="1">
      <c r="B14" s="11" t="s">
        <v>113</v>
      </c>
      <c r="C14" s="11" t="s">
        <v>112</v>
      </c>
      <c r="D14" s="34" t="s">
        <v>68</v>
      </c>
      <c r="E14" s="35">
        <v>13</v>
      </c>
      <c r="F14" s="76">
        <v>1828</v>
      </c>
      <c r="G14" s="77">
        <v>1828</v>
      </c>
      <c r="H14" s="77">
        <v>0</v>
      </c>
      <c r="I14" s="12">
        <v>73.12</v>
      </c>
      <c r="J14" s="12">
        <v>47000</v>
      </c>
      <c r="K14" s="35">
        <v>17</v>
      </c>
      <c r="L14" s="12">
        <v>21666.666666666668</v>
      </c>
      <c r="M14" s="78">
        <v>6</v>
      </c>
      <c r="N14" s="12">
        <v>36000</v>
      </c>
      <c r="O14" s="12"/>
      <c r="P14" s="79">
        <v>140.61538461538461</v>
      </c>
      <c r="Q14" s="12">
        <v>20000</v>
      </c>
      <c r="R14" s="13">
        <v>0</v>
      </c>
      <c r="S14" s="21">
        <v>0</v>
      </c>
      <c r="T14" s="12">
        <v>369472.42666666681</v>
      </c>
      <c r="U14" s="12">
        <v>369472.42666666681</v>
      </c>
    </row>
    <row r="15" spans="2:21" ht="15" customHeight="1">
      <c r="B15" s="11" t="s">
        <v>75</v>
      </c>
      <c r="C15" s="11" t="s">
        <v>76</v>
      </c>
      <c r="D15" s="34" t="s">
        <v>68</v>
      </c>
      <c r="E15" s="35">
        <v>13</v>
      </c>
      <c r="F15" s="76">
        <v>1827</v>
      </c>
      <c r="G15" s="77">
        <v>1299</v>
      </c>
      <c r="H15" s="77">
        <v>528</v>
      </c>
      <c r="I15" s="12">
        <v>78.36</v>
      </c>
      <c r="J15" s="12">
        <v>47000</v>
      </c>
      <c r="K15" s="35">
        <v>11</v>
      </c>
      <c r="L15" s="12"/>
      <c r="M15" s="78">
        <v>9</v>
      </c>
      <c r="N15" s="12">
        <v>67500</v>
      </c>
      <c r="O15" s="12"/>
      <c r="P15" s="79">
        <v>140.53846153846155</v>
      </c>
      <c r="Q15" s="12"/>
      <c r="R15" s="13">
        <v>0</v>
      </c>
      <c r="S15" s="21">
        <v>0</v>
      </c>
      <c r="T15" s="12">
        <v>376849.28000000009</v>
      </c>
      <c r="U15" s="12">
        <v>376849.28000000009</v>
      </c>
    </row>
    <row r="16" spans="2:21" ht="15" customHeight="1">
      <c r="B16" s="11" t="s">
        <v>74</v>
      </c>
      <c r="C16" s="11" t="s">
        <v>147</v>
      </c>
      <c r="D16" s="34" t="s">
        <v>68</v>
      </c>
      <c r="E16" s="35">
        <v>11</v>
      </c>
      <c r="F16" s="76">
        <v>1688</v>
      </c>
      <c r="G16" s="77">
        <v>750</v>
      </c>
      <c r="H16" s="77">
        <v>938</v>
      </c>
      <c r="I16" s="12">
        <v>76.900000000000006</v>
      </c>
      <c r="J16" s="12">
        <v>34000</v>
      </c>
      <c r="K16" s="35">
        <v>10</v>
      </c>
      <c r="L16" s="12"/>
      <c r="M16" s="78">
        <v>4</v>
      </c>
      <c r="N16" s="12">
        <v>22000</v>
      </c>
      <c r="O16" s="12"/>
      <c r="P16" s="79" t="s">
        <v>1</v>
      </c>
      <c r="Q16" s="12"/>
      <c r="R16" s="13">
        <v>0</v>
      </c>
      <c r="S16" s="21">
        <v>0</v>
      </c>
      <c r="T16" s="12">
        <v>313461.20000000013</v>
      </c>
      <c r="U16" s="12">
        <v>313461.20000000013</v>
      </c>
    </row>
    <row r="17" spans="2:21" ht="15" customHeight="1">
      <c r="B17" s="11" t="s">
        <v>163</v>
      </c>
      <c r="C17" s="11" t="s">
        <v>77</v>
      </c>
      <c r="D17" s="34" t="s">
        <v>68</v>
      </c>
      <c r="E17" s="35">
        <v>12</v>
      </c>
      <c r="F17" s="76">
        <v>1663</v>
      </c>
      <c r="G17" s="77">
        <v>1484</v>
      </c>
      <c r="H17" s="77">
        <v>179</v>
      </c>
      <c r="I17" s="12">
        <v>68.31</v>
      </c>
      <c r="J17" s="12">
        <v>34000</v>
      </c>
      <c r="K17" s="35">
        <v>17</v>
      </c>
      <c r="L17" s="12">
        <v>21666.666666666668</v>
      </c>
      <c r="M17" s="78">
        <v>7</v>
      </c>
      <c r="N17" s="12">
        <v>52500</v>
      </c>
      <c r="O17" s="12"/>
      <c r="P17" s="79" t="s">
        <v>1</v>
      </c>
      <c r="Q17" s="12"/>
      <c r="R17" s="13">
        <v>0</v>
      </c>
      <c r="S17" s="21">
        <v>0</v>
      </c>
      <c r="T17" s="12">
        <v>336868.54666666681</v>
      </c>
      <c r="U17" s="12">
        <v>336868.54666666681</v>
      </c>
    </row>
    <row r="18" spans="2:21" ht="15" customHeight="1">
      <c r="B18" s="11" t="s">
        <v>150</v>
      </c>
      <c r="C18" s="11" t="s">
        <v>154</v>
      </c>
      <c r="D18" s="34" t="s">
        <v>68</v>
      </c>
      <c r="E18" s="35">
        <v>11</v>
      </c>
      <c r="F18" s="76">
        <v>1637</v>
      </c>
      <c r="G18" s="77">
        <v>1278</v>
      </c>
      <c r="H18" s="77">
        <v>359</v>
      </c>
      <c r="I18" s="12">
        <v>69.070000000000007</v>
      </c>
      <c r="J18" s="12">
        <v>34000</v>
      </c>
      <c r="K18" s="35">
        <v>11</v>
      </c>
      <c r="L18" s="12"/>
      <c r="M18" s="78">
        <v>5</v>
      </c>
      <c r="N18" s="12">
        <v>30000</v>
      </c>
      <c r="O18" s="12"/>
      <c r="P18" s="79" t="s">
        <v>1</v>
      </c>
      <c r="Q18" s="12"/>
      <c r="R18" s="13">
        <v>0</v>
      </c>
      <c r="S18" s="21">
        <v>0</v>
      </c>
      <c r="T18" s="12">
        <v>295246.3600000001</v>
      </c>
      <c r="U18" s="12">
        <v>295246.3600000001</v>
      </c>
    </row>
    <row r="19" spans="2:21" ht="15" customHeight="1">
      <c r="B19" s="11" t="s">
        <v>151</v>
      </c>
      <c r="C19" s="11" t="s">
        <v>153</v>
      </c>
      <c r="D19" s="34" t="s">
        <v>68</v>
      </c>
      <c r="E19" s="35">
        <v>10</v>
      </c>
      <c r="F19" s="76">
        <v>1456</v>
      </c>
      <c r="G19" s="77">
        <v>1077</v>
      </c>
      <c r="H19" s="77">
        <v>379</v>
      </c>
      <c r="I19" s="12">
        <v>62.03</v>
      </c>
      <c r="J19" s="12">
        <v>0</v>
      </c>
      <c r="K19" s="35" t="s">
        <v>1</v>
      </c>
      <c r="L19" s="12"/>
      <c r="M19" s="78">
        <v>4</v>
      </c>
      <c r="N19" s="12">
        <v>22000</v>
      </c>
      <c r="O19" s="12"/>
      <c r="P19" s="79" t="s">
        <v>1</v>
      </c>
      <c r="Q19" s="12"/>
      <c r="R19" s="13">
        <v>0</v>
      </c>
      <c r="S19" s="21">
        <v>0</v>
      </c>
      <c r="T19" s="12">
        <v>97493.760000000038</v>
      </c>
      <c r="U19" s="12">
        <v>97493.760000000038</v>
      </c>
    </row>
    <row r="20" spans="2:21" ht="15" customHeight="1">
      <c r="B20" s="11" t="s">
        <v>149</v>
      </c>
      <c r="C20" s="11" t="s">
        <v>152</v>
      </c>
      <c r="D20" s="34" t="s">
        <v>68</v>
      </c>
      <c r="E20" s="35">
        <v>12</v>
      </c>
      <c r="F20" s="76">
        <v>1402</v>
      </c>
      <c r="G20" s="77">
        <v>1402</v>
      </c>
      <c r="H20" s="77">
        <v>0</v>
      </c>
      <c r="I20" s="12">
        <v>56.08</v>
      </c>
      <c r="J20" s="12">
        <v>0</v>
      </c>
      <c r="K20" s="35" t="s">
        <v>1</v>
      </c>
      <c r="L20" s="12"/>
      <c r="M20" s="78">
        <v>5</v>
      </c>
      <c r="N20" s="12">
        <v>30000</v>
      </c>
      <c r="O20" s="12"/>
      <c r="P20" s="79" t="s">
        <v>1</v>
      </c>
      <c r="Q20" s="12"/>
      <c r="R20" s="13">
        <v>0</v>
      </c>
      <c r="S20" s="21">
        <v>0</v>
      </c>
      <c r="T20" s="12">
        <v>93877.920000000042</v>
      </c>
      <c r="U20" s="12">
        <v>93877.920000000042</v>
      </c>
    </row>
    <row r="21" spans="2:21" ht="15" customHeight="1">
      <c r="U21" s="93">
        <v>4486141.7280000011</v>
      </c>
    </row>
    <row r="22" spans="2:21" ht="15" customHeight="1">
      <c r="U22" s="94"/>
    </row>
    <row r="23" spans="2:21" ht="15" customHeight="1">
      <c r="F23" s="84"/>
    </row>
  </sheetData>
  <mergeCells count="3">
    <mergeCell ref="U21:U22"/>
    <mergeCell ref="B5:D6"/>
    <mergeCell ref="U5:U6"/>
  </mergeCells>
  <conditionalFormatting sqref="F9:F20">
    <cfRule type="cellIs" dxfId="17" priority="1" operator="greaterThanOrEqual">
      <formula>1750</formula>
    </cfRule>
    <cfRule type="cellIs" dxfId="16" priority="2" operator="greaterThanOrEqual">
      <formula>1550</formula>
    </cfRule>
    <cfRule type="cellIs" dxfId="15" priority="3" operator="greaterThanOrEqual">
      <formula>1300</formula>
    </cfRule>
  </conditionalFormatting>
  <conditionalFormatting sqref="K9:K20">
    <cfRule type="cellIs" dxfId="14" priority="43961" operator="lessThan">
      <formula>15</formula>
    </cfRule>
    <cfRule type="top10" dxfId="13" priority="43962" rank="3"/>
  </conditionalFormatting>
  <conditionalFormatting sqref="L9:L20">
    <cfRule type="expression" dxfId="12" priority="4">
      <formula>$F9&gt;=1550</formula>
    </cfRule>
  </conditionalFormatting>
  <conditionalFormatting sqref="O9:O20 Q9:Q20">
    <cfRule type="expression" dxfId="11" priority="11">
      <formula>$F9&gt;=1750</formula>
    </cfRule>
  </conditionalFormatting>
  <conditionalFormatting sqref="P9:P20">
    <cfRule type="cellIs" dxfId="9" priority="14" operator="greaterThanOrEqual">
      <formula>139.99</formula>
    </cfRule>
  </conditionalFormatting>
  <conditionalFormatting sqref="R9:R20">
    <cfRule type="iconSet" priority="4396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U9:U20">
    <cfRule type="dataBar" priority="43967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{663ED8DD-AEC0-4971-9D74-876FD5C8BC2C}</x14:id>
        </ext>
      </extLst>
    </cfRule>
  </conditionalFormatting>
  <dataValidations disablePrompts="1" count="2">
    <dataValidation type="list" allowBlank="1" showInputMessage="1" showErrorMessage="1" sqref="O9:O20 L9:L20" xr:uid="{0E160715-C397-4D3E-A2E1-C65445633D4D}">
      <formula1>"50000,40000,25000"</formula1>
    </dataValidation>
    <dataValidation type="list" allowBlank="1" showInputMessage="1" showErrorMessage="1" sqref="Q9:Q20" xr:uid="{1F03D6FD-DA13-4BAB-A0B3-77471214BC26}">
      <formula1>"50000,40000,35000,25000,20000"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06F677E9-8C77-4A11-B647-9A5C083B3ED8}">
            <xm:f>NOT(ISERROR(SEARCH("-",P9)))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P9:P20</xm:sqref>
        </x14:conditionalFormatting>
        <x14:conditionalFormatting xmlns:xm="http://schemas.microsoft.com/office/excel/2006/main">
          <x14:cfRule type="dataBar" id="{663ED8DD-AEC0-4971-9D74-876FD5C8B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U9:U20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4062-AA7A-4AC0-8290-1A00E3037BD1}">
  <sheetPr>
    <tabColor theme="4" tint="-0.249977111117893"/>
  </sheetPr>
  <dimension ref="A1:U18"/>
  <sheetViews>
    <sheetView showGridLines="0" showRowColHeaders="0" zoomScale="70" zoomScaleNormal="70" workbookViewId="0">
      <pane xSplit="4" ySplit="8" topLeftCell="E9" activePane="bottomRight" state="frozen"/>
      <selection activeCell="B2" sqref="B2:F2"/>
      <selection pane="topRight" activeCell="B2" sqref="B2:F2"/>
      <selection pane="bottomLeft" activeCell="B2" sqref="B2:F2"/>
      <selection pane="bottomRight" activeCell="B5" sqref="B5:D6"/>
    </sheetView>
  </sheetViews>
  <sheetFormatPr baseColWidth="10" defaultColWidth="11.42578125" defaultRowHeight="15" customHeight="1"/>
  <cols>
    <col min="1" max="1" width="3.28515625" style="80" customWidth="1"/>
    <col min="2" max="2" width="47.140625" style="38" customWidth="1"/>
    <col min="3" max="3" width="19.140625" style="38" bestFit="1" customWidth="1"/>
    <col min="4" max="4" width="27.28515625" style="38" customWidth="1"/>
    <col min="5" max="5" width="17.7109375" style="38" customWidth="1"/>
    <col min="6" max="6" width="16.140625" style="38" customWidth="1"/>
    <col min="7" max="19" width="11.85546875" style="38" customWidth="1"/>
    <col min="20" max="20" width="13.5703125" style="38" bestFit="1" customWidth="1"/>
    <col min="21" max="21" width="16.42578125" style="72" customWidth="1"/>
    <col min="22" max="22" width="3.28515625" style="38" customWidth="1"/>
    <col min="23" max="16384" width="11.42578125" style="38"/>
  </cols>
  <sheetData>
    <row r="1" spans="2:21" ht="15" customHeight="1">
      <c r="U1" s="38"/>
    </row>
    <row r="2" spans="2:21" ht="15" customHeight="1">
      <c r="U2" s="43" t="s">
        <v>30</v>
      </c>
    </row>
    <row r="3" spans="2:21" ht="15" customHeight="1">
      <c r="B3" s="41"/>
      <c r="U3" s="83">
        <v>0</v>
      </c>
    </row>
    <row r="4" spans="2:21" ht="15" customHeight="1">
      <c r="U4" s="38"/>
    </row>
    <row r="5" spans="2:21" ht="15" customHeight="1">
      <c r="B5" s="95" t="s">
        <v>168</v>
      </c>
      <c r="C5" s="96"/>
      <c r="D5" s="96"/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93">
        <v>3348.0000000000014</v>
      </c>
    </row>
    <row r="6" spans="2:21" ht="15" customHeight="1">
      <c r="B6" s="97"/>
      <c r="C6" s="98"/>
      <c r="D6" s="98"/>
      <c r="E6" s="70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94"/>
    </row>
    <row r="8" spans="2:21" ht="45" customHeight="1">
      <c r="B8" s="7" t="s">
        <v>2</v>
      </c>
      <c r="C8" s="7" t="s">
        <v>8</v>
      </c>
      <c r="D8" s="7" t="s">
        <v>4</v>
      </c>
      <c r="E8" s="7" t="s">
        <v>19</v>
      </c>
      <c r="F8" s="7" t="s">
        <v>61</v>
      </c>
      <c r="G8" s="8" t="s">
        <v>62</v>
      </c>
      <c r="H8" s="8" t="s">
        <v>63</v>
      </c>
      <c r="I8" s="8" t="s">
        <v>93</v>
      </c>
      <c r="J8" s="8" t="s">
        <v>92</v>
      </c>
      <c r="K8" s="9" t="s">
        <v>91</v>
      </c>
      <c r="L8" s="82" t="s">
        <v>90</v>
      </c>
      <c r="M8" s="8" t="s">
        <v>94</v>
      </c>
      <c r="N8" s="8" t="s">
        <v>95</v>
      </c>
      <c r="O8" s="81" t="s">
        <v>89</v>
      </c>
      <c r="P8" s="73" t="s">
        <v>3</v>
      </c>
      <c r="Q8" s="81" t="s">
        <v>96</v>
      </c>
      <c r="R8" s="74" t="s">
        <v>97</v>
      </c>
      <c r="S8" s="8" t="s">
        <v>98</v>
      </c>
      <c r="T8" s="49" t="s">
        <v>64</v>
      </c>
      <c r="U8" s="75" t="s">
        <v>65</v>
      </c>
    </row>
    <row r="9" spans="2:21" ht="15" customHeight="1">
      <c r="B9" s="11" t="s">
        <v>101</v>
      </c>
      <c r="C9" s="11" t="s">
        <v>102</v>
      </c>
      <c r="D9" s="34" t="s">
        <v>71</v>
      </c>
      <c r="E9" s="35">
        <v>22</v>
      </c>
      <c r="F9" s="76">
        <v>3028</v>
      </c>
      <c r="G9" s="77">
        <v>2698</v>
      </c>
      <c r="H9" s="77">
        <v>330</v>
      </c>
      <c r="I9" s="12">
        <v>124.42</v>
      </c>
      <c r="J9" s="12">
        <v>120000</v>
      </c>
      <c r="K9" s="35">
        <v>20</v>
      </c>
      <c r="L9" s="12">
        <v>50000</v>
      </c>
      <c r="M9" s="78">
        <v>17</v>
      </c>
      <c r="N9" s="12">
        <v>127500</v>
      </c>
      <c r="O9" s="12">
        <v>50000</v>
      </c>
      <c r="P9" s="79">
        <v>137.63636363636363</v>
      </c>
      <c r="Q9" s="12"/>
      <c r="R9" s="13">
        <v>0</v>
      </c>
      <c r="S9" s="21">
        <v>0</v>
      </c>
      <c r="T9" s="12">
        <v>764058.16000000015</v>
      </c>
      <c r="U9" s="12">
        <v>764058.16000000015</v>
      </c>
    </row>
    <row r="10" spans="2:21" ht="15" customHeight="1">
      <c r="B10" s="11" t="s">
        <v>72</v>
      </c>
      <c r="C10" s="11" t="s">
        <v>73</v>
      </c>
      <c r="D10" s="34" t="s">
        <v>71</v>
      </c>
      <c r="E10" s="35">
        <v>16</v>
      </c>
      <c r="F10" s="76">
        <v>2143</v>
      </c>
      <c r="G10" s="77">
        <v>2143</v>
      </c>
      <c r="H10" s="77">
        <v>0</v>
      </c>
      <c r="I10" s="12">
        <v>85.72</v>
      </c>
      <c r="J10" s="12">
        <v>60000</v>
      </c>
      <c r="K10" s="35">
        <v>14</v>
      </c>
      <c r="L10" s="12"/>
      <c r="M10" s="78">
        <v>5</v>
      </c>
      <c r="N10" s="12">
        <v>30000</v>
      </c>
      <c r="O10" s="12">
        <v>40000</v>
      </c>
      <c r="P10" s="79">
        <v>135.66666666666666</v>
      </c>
      <c r="Q10" s="12"/>
      <c r="R10" s="13">
        <v>0</v>
      </c>
      <c r="S10" s="21">
        <v>0</v>
      </c>
      <c r="T10" s="12">
        <v>416990.56000000011</v>
      </c>
      <c r="U10" s="12">
        <v>416990.56000000011</v>
      </c>
    </row>
    <row r="11" spans="2:21" ht="15" customHeight="1">
      <c r="B11" s="11" t="s">
        <v>78</v>
      </c>
      <c r="C11" s="11" t="s">
        <v>79</v>
      </c>
      <c r="D11" s="34" t="s">
        <v>71</v>
      </c>
      <c r="E11" s="35">
        <v>14</v>
      </c>
      <c r="F11" s="76">
        <v>1918</v>
      </c>
      <c r="G11" s="77">
        <v>1718</v>
      </c>
      <c r="H11" s="77">
        <v>200</v>
      </c>
      <c r="I11" s="12">
        <v>78.72</v>
      </c>
      <c r="J11" s="12">
        <v>47000</v>
      </c>
      <c r="K11" s="35">
        <v>16</v>
      </c>
      <c r="L11" s="12">
        <v>12500</v>
      </c>
      <c r="M11" s="78">
        <v>6</v>
      </c>
      <c r="N11" s="12">
        <v>36000</v>
      </c>
      <c r="O11" s="12">
        <v>25000</v>
      </c>
      <c r="P11" s="79">
        <v>139</v>
      </c>
      <c r="Q11" s="12"/>
      <c r="R11" s="13">
        <v>0</v>
      </c>
      <c r="S11" s="21">
        <v>0</v>
      </c>
      <c r="T11" s="12">
        <v>384054.56000000011</v>
      </c>
      <c r="U11" s="12">
        <v>384054.56000000011</v>
      </c>
    </row>
    <row r="12" spans="2:21" ht="15" customHeight="1">
      <c r="B12" s="11" t="s">
        <v>122</v>
      </c>
      <c r="C12" s="11" t="s">
        <v>124</v>
      </c>
      <c r="D12" s="34" t="s">
        <v>71</v>
      </c>
      <c r="E12" s="35">
        <v>13</v>
      </c>
      <c r="F12" s="76">
        <v>1702.91</v>
      </c>
      <c r="G12" s="77">
        <v>1543.9099999999999</v>
      </c>
      <c r="H12" s="77">
        <v>159</v>
      </c>
      <c r="I12" s="12">
        <v>69.706400000000002</v>
      </c>
      <c r="J12" s="12">
        <v>34000</v>
      </c>
      <c r="K12" s="35">
        <v>16</v>
      </c>
      <c r="L12" s="12">
        <v>12500</v>
      </c>
      <c r="M12" s="78">
        <v>10</v>
      </c>
      <c r="N12" s="12">
        <v>75000</v>
      </c>
      <c r="O12" s="12"/>
      <c r="P12" s="79" t="s">
        <v>1</v>
      </c>
      <c r="Q12" s="12"/>
      <c r="R12" s="13">
        <v>0</v>
      </c>
      <c r="S12" s="21">
        <v>0</v>
      </c>
      <c r="T12" s="12">
        <v>354877.02720000013</v>
      </c>
      <c r="U12" s="12">
        <v>354877.02720000013</v>
      </c>
    </row>
    <row r="13" spans="2:21" ht="15" customHeight="1">
      <c r="B13" s="11" t="s">
        <v>123</v>
      </c>
      <c r="C13" s="11" t="s">
        <v>125</v>
      </c>
      <c r="D13" s="34" t="s">
        <v>71</v>
      </c>
      <c r="E13" s="35">
        <v>10</v>
      </c>
      <c r="F13" s="76">
        <v>1696</v>
      </c>
      <c r="G13" s="77">
        <v>817</v>
      </c>
      <c r="H13" s="77">
        <v>879</v>
      </c>
      <c r="I13" s="12">
        <v>76.63</v>
      </c>
      <c r="J13" s="12">
        <v>34000</v>
      </c>
      <c r="K13" s="35">
        <v>14</v>
      </c>
      <c r="L13" s="12"/>
      <c r="M13" s="78">
        <v>5</v>
      </c>
      <c r="N13" s="12">
        <v>30000</v>
      </c>
      <c r="O13" s="12"/>
      <c r="P13" s="79" t="s">
        <v>1</v>
      </c>
      <c r="Q13" s="12"/>
      <c r="R13" s="13">
        <v>0</v>
      </c>
      <c r="S13" s="21">
        <v>0</v>
      </c>
      <c r="T13" s="12">
        <v>320557.24000000011</v>
      </c>
      <c r="U13" s="12">
        <v>320557.24000000011</v>
      </c>
    </row>
    <row r="14" spans="2:21" ht="15" customHeight="1">
      <c r="B14" s="11" t="s">
        <v>164</v>
      </c>
      <c r="C14" s="11" t="s">
        <v>82</v>
      </c>
      <c r="D14" s="34" t="s">
        <v>71</v>
      </c>
      <c r="E14" s="35">
        <v>12</v>
      </c>
      <c r="F14" s="76">
        <v>1648</v>
      </c>
      <c r="G14" s="77">
        <v>1334</v>
      </c>
      <c r="H14" s="77">
        <v>314</v>
      </c>
      <c r="I14" s="12">
        <v>69.06</v>
      </c>
      <c r="J14" s="12">
        <v>34000</v>
      </c>
      <c r="K14" s="35">
        <v>13</v>
      </c>
      <c r="L14" s="12"/>
      <c r="M14" s="78">
        <v>4</v>
      </c>
      <c r="N14" s="12">
        <v>22000</v>
      </c>
      <c r="O14" s="12"/>
      <c r="P14" s="79" t="s">
        <v>1</v>
      </c>
      <c r="Q14" s="12"/>
      <c r="R14" s="13">
        <v>0</v>
      </c>
      <c r="S14" s="21">
        <v>0</v>
      </c>
      <c r="T14" s="12">
        <v>287212.88000000012</v>
      </c>
      <c r="U14" s="12">
        <v>287212.88000000012</v>
      </c>
    </row>
    <row r="15" spans="2:21" ht="15" customHeight="1">
      <c r="B15" s="11" t="s">
        <v>69</v>
      </c>
      <c r="C15" s="11" t="s">
        <v>70</v>
      </c>
      <c r="D15" s="34" t="s">
        <v>71</v>
      </c>
      <c r="E15" s="35">
        <v>11</v>
      </c>
      <c r="F15" s="76">
        <v>1591</v>
      </c>
      <c r="G15" s="77">
        <v>1211</v>
      </c>
      <c r="H15" s="77">
        <v>380</v>
      </c>
      <c r="I15" s="12">
        <v>67.44</v>
      </c>
      <c r="J15" s="12">
        <v>0</v>
      </c>
      <c r="K15" s="35">
        <v>17</v>
      </c>
      <c r="L15" s="12">
        <v>40000</v>
      </c>
      <c r="M15" s="78">
        <v>6</v>
      </c>
      <c r="N15" s="12">
        <v>36000</v>
      </c>
      <c r="O15" s="12"/>
      <c r="P15" s="79" t="s">
        <v>1</v>
      </c>
      <c r="Q15" s="12"/>
      <c r="R15" s="13">
        <v>0</v>
      </c>
      <c r="S15" s="21">
        <v>0</v>
      </c>
      <c r="T15" s="12">
        <v>301789.12000000011</v>
      </c>
      <c r="U15" s="12">
        <v>301789.12000000011</v>
      </c>
    </row>
    <row r="16" spans="2:21" ht="15" customHeight="1">
      <c r="U16" s="93">
        <v>2829539.5472000008</v>
      </c>
    </row>
    <row r="17" spans="6:21" ht="15" customHeight="1">
      <c r="U17" s="94"/>
    </row>
    <row r="18" spans="6:21" ht="15" customHeight="1">
      <c r="F18" s="84"/>
    </row>
  </sheetData>
  <mergeCells count="3">
    <mergeCell ref="B5:D6"/>
    <mergeCell ref="U5:U6"/>
    <mergeCell ref="U16:U17"/>
  </mergeCells>
  <conditionalFormatting sqref="F9:F15">
    <cfRule type="cellIs" dxfId="8" priority="1" operator="greaterThanOrEqual">
      <formula>1750</formula>
    </cfRule>
    <cfRule type="cellIs" dxfId="7" priority="2" operator="greaterThanOrEqual">
      <formula>1550</formula>
    </cfRule>
    <cfRule type="cellIs" dxfId="6" priority="3" operator="greaterThanOrEqual">
      <formula>1300</formula>
    </cfRule>
  </conditionalFormatting>
  <conditionalFormatting sqref="K9:K15">
    <cfRule type="cellIs" dxfId="5" priority="43915" operator="lessThan">
      <formula>15</formula>
    </cfRule>
    <cfRule type="top10" dxfId="4" priority="43916" rank="3"/>
  </conditionalFormatting>
  <conditionalFormatting sqref="L9:L15">
    <cfRule type="expression" dxfId="3" priority="4">
      <formula>$F9&gt;=1550</formula>
    </cfRule>
  </conditionalFormatting>
  <conditionalFormatting sqref="O9:O15 Q9:Q15">
    <cfRule type="expression" dxfId="2" priority="5">
      <formula>$F9&gt;=1750</formula>
    </cfRule>
  </conditionalFormatting>
  <conditionalFormatting sqref="P9:P15">
    <cfRule type="cellIs" dxfId="0" priority="7" operator="greaterThanOrEqual">
      <formula>139.99</formula>
    </cfRule>
  </conditionalFormatting>
  <conditionalFormatting sqref="R9:R15">
    <cfRule type="iconSet" priority="4391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U9:U15">
    <cfRule type="dataBar" priority="43921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{C9E7C657-8D53-49B3-90B4-2C609C64BDE9}</x14:id>
        </ext>
      </extLst>
    </cfRule>
  </conditionalFormatting>
  <dataValidations disablePrompts="1" count="2">
    <dataValidation type="list" allowBlank="1" showInputMessage="1" showErrorMessage="1" sqref="Q9:Q15" xr:uid="{C2EC21B4-7A56-4263-87B7-7EF7908CB88C}">
      <formula1>"50000,40000,35000,25000,20000"</formula1>
    </dataValidation>
    <dataValidation type="list" allowBlank="1" showInputMessage="1" showErrorMessage="1" sqref="L9:L15 O9:O15" xr:uid="{095ED158-C7EF-41B5-8E73-9E012C09C569}">
      <formula1>"50000,40000,25000"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B5D1771-8C13-4AAD-BF77-B6A5B8283BAD}">
            <xm:f>NOT(ISERROR(SEARCH("-",P9)))</xm:f>
            <xm:f>"-"</xm:f>
            <x14:dxf>
              <font>
                <color theme="0"/>
              </font>
              <fill>
                <patternFill>
                  <bgColor theme="4" tint="-0.499984740745262"/>
                </patternFill>
              </fill>
            </x14:dxf>
          </x14:cfRule>
          <xm:sqref>P9:P15</xm:sqref>
        </x14:conditionalFormatting>
        <x14:conditionalFormatting xmlns:xm="http://schemas.microsoft.com/office/excel/2006/main">
          <x14:cfRule type="dataBar" id="{C9E7C657-8D53-49B3-90B4-2C609C64B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U9:U15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 </vt:lpstr>
      <vt:lpstr>INBOUND AM</vt:lpstr>
      <vt:lpstr>INBOUND PM</vt:lpstr>
      <vt:lpstr>REDES INGLÉS</vt:lpstr>
      <vt:lpstr>REDES SOCIALES AM</vt:lpstr>
      <vt:lpstr>REDES SOCIALES PM</vt:lpstr>
      <vt:lpstr>BARRANQUILLA AM</vt:lpstr>
      <vt:lpstr>BARRANQUILLA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Duwan Moreno</dc:creator>
  <cp:lastModifiedBy>Duwan Moreno</cp:lastModifiedBy>
  <cp:lastPrinted>2024-04-30T16:40:43Z</cp:lastPrinted>
  <dcterms:created xsi:type="dcterms:W3CDTF">2017-09-04T15:15:13Z</dcterms:created>
  <dcterms:modified xsi:type="dcterms:W3CDTF">2026-03-31T17:11:42Z</dcterms:modified>
</cp:coreProperties>
</file>